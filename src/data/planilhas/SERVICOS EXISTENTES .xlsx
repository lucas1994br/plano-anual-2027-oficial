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stagiario-compras\Desktop\Duda\"/>
    </mc:Choice>
  </mc:AlternateContent>
  <bookViews>
    <workbookView xWindow="0" yWindow="0" windowWidth="28800" windowHeight="12180" firstSheet="1" activeTab="1"/>
  </bookViews>
  <sheets>
    <sheet name="RESUMO" sheetId="19" r:id="rId1"/>
    <sheet name="DG (CT SERV. EXISTENTES)" sheetId="11" r:id="rId2"/>
    <sheet name="DC (SERVIÇOS)" sheetId="13" r:id="rId3"/>
    <sheet name="PR (CT SERV. EXISTENTES)" sheetId="14" r:id="rId4"/>
    <sheet name="DE (SERVIÇOS VIGENTES)" sheetId="16" r:id="rId5"/>
  </sheets>
  <externalReferences>
    <externalReference r:id="rId6"/>
    <externalReference r:id="rId7"/>
    <externalReference r:id="rId8"/>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19" l="1"/>
  <c r="H12" i="13" l="1"/>
  <c r="E10" i="19" l="1"/>
  <c r="E7" i="19"/>
  <c r="E8" i="19"/>
  <c r="E9" i="19"/>
  <c r="E5" i="19"/>
  <c r="F10" i="19" l="1"/>
  <c r="E30" i="16" l="1"/>
  <c r="F30" i="16" s="1"/>
  <c r="C30" i="16"/>
  <c r="E29" i="16"/>
  <c r="F29" i="16" s="1"/>
  <c r="C29" i="16"/>
  <c r="E28" i="16"/>
  <c r="F28" i="16" s="1"/>
  <c r="C28" i="16"/>
  <c r="E27" i="16"/>
  <c r="F27" i="16" s="1"/>
  <c r="C27" i="16"/>
  <c r="E26" i="16"/>
  <c r="F26" i="16" s="1"/>
  <c r="C26" i="16"/>
  <c r="E25" i="16"/>
  <c r="F25" i="16" s="1"/>
  <c r="C25" i="16"/>
  <c r="E24" i="16"/>
  <c r="F24" i="16" s="1"/>
  <c r="C24" i="16"/>
  <c r="E23" i="16"/>
  <c r="F23" i="16" s="1"/>
  <c r="C23" i="16"/>
  <c r="E22" i="16"/>
  <c r="F22" i="16" s="1"/>
  <c r="C22" i="16"/>
  <c r="E21" i="16"/>
  <c r="F21" i="16" s="1"/>
  <c r="C21" i="16"/>
  <c r="E20" i="16"/>
  <c r="F20" i="16" s="1"/>
  <c r="C20" i="16"/>
  <c r="E19" i="16"/>
  <c r="F19" i="16" s="1"/>
  <c r="C19" i="16"/>
  <c r="E18" i="16"/>
  <c r="F18" i="16" s="1"/>
  <c r="C18" i="16"/>
  <c r="E17" i="16"/>
  <c r="F17" i="16" s="1"/>
  <c r="C17" i="16"/>
  <c r="E16" i="16"/>
  <c r="F16" i="16" s="1"/>
  <c r="C16" i="16"/>
  <c r="E15" i="16"/>
  <c r="F15" i="16" s="1"/>
  <c r="C15" i="16"/>
  <c r="E14" i="16"/>
  <c r="F14" i="16" s="1"/>
  <c r="C14" i="16"/>
  <c r="E13" i="16"/>
  <c r="F13" i="16" s="1"/>
  <c r="C13" i="16"/>
  <c r="E12" i="16"/>
  <c r="F12" i="16" s="1"/>
  <c r="C12" i="16"/>
  <c r="E11" i="16"/>
  <c r="F11" i="16" s="1"/>
  <c r="C11" i="16"/>
  <c r="E10" i="16"/>
  <c r="F10" i="16" s="1"/>
  <c r="C10" i="16"/>
  <c r="E9" i="16"/>
  <c r="F9" i="16" s="1"/>
  <c r="C9" i="16"/>
  <c r="E8" i="16"/>
  <c r="F8" i="16" s="1"/>
  <c r="C8" i="16"/>
  <c r="E7" i="16"/>
  <c r="F7" i="16" s="1"/>
  <c r="C7" i="16"/>
  <c r="E6" i="16"/>
  <c r="F6" i="16" s="1"/>
  <c r="C6" i="16"/>
  <c r="E5" i="16"/>
  <c r="F5" i="16" s="1"/>
  <c r="C5" i="16"/>
  <c r="E4" i="16"/>
  <c r="F4" i="16" s="1"/>
  <c r="C4" i="16"/>
  <c r="E3" i="16"/>
  <c r="F3" i="16" s="1"/>
  <c r="C3" i="16"/>
  <c r="F31" i="16" l="1"/>
  <c r="F7" i="14" l="1"/>
  <c r="E6" i="14"/>
  <c r="C6" i="14"/>
  <c r="C5" i="14"/>
  <c r="E4" i="14"/>
  <c r="C4" i="14"/>
  <c r="E3" i="14"/>
  <c r="C3" i="14"/>
  <c r="G80" i="11" l="1"/>
  <c r="G79" i="11"/>
  <c r="G78" i="11"/>
  <c r="G77" i="11"/>
  <c r="G76" i="11"/>
  <c r="G75" i="11"/>
  <c r="G74" i="11"/>
  <c r="G73" i="11"/>
  <c r="G72" i="11"/>
  <c r="G71" i="11"/>
  <c r="G70" i="11"/>
  <c r="G69" i="11"/>
  <c r="G68" i="11"/>
  <c r="G67" i="11"/>
  <c r="G66" i="11"/>
  <c r="G65" i="11"/>
  <c r="G64" i="11"/>
  <c r="G63" i="11"/>
  <c r="G62" i="11"/>
  <c r="G61" i="11"/>
  <c r="G60" i="11"/>
  <c r="G59" i="11"/>
  <c r="G58" i="11"/>
  <c r="G57" i="11"/>
  <c r="G56" i="11"/>
  <c r="G55" i="11"/>
  <c r="G54" i="11"/>
  <c r="G53" i="11"/>
  <c r="G52" i="11"/>
  <c r="G51" i="11"/>
  <c r="G50" i="11"/>
  <c r="G49" i="11"/>
  <c r="G48" i="11"/>
  <c r="G47" i="11"/>
  <c r="G46" i="11"/>
  <c r="G45" i="11"/>
  <c r="G44" i="11"/>
  <c r="G43" i="11"/>
  <c r="G42" i="11"/>
  <c r="G41" i="11"/>
  <c r="G40" i="11"/>
  <c r="G39" i="11"/>
  <c r="G38" i="11"/>
  <c r="G37" i="11"/>
  <c r="G36" i="11"/>
  <c r="G35" i="11"/>
  <c r="G34" i="11"/>
  <c r="G33" i="11"/>
  <c r="G32" i="11"/>
  <c r="G31" i="11"/>
  <c r="G30" i="11"/>
  <c r="G29" i="11"/>
  <c r="G28" i="11"/>
  <c r="G27" i="11"/>
  <c r="G26" i="11"/>
  <c r="G25" i="11"/>
  <c r="G24" i="11"/>
  <c r="G23" i="11"/>
  <c r="G22" i="11"/>
  <c r="G21" i="11"/>
  <c r="G20" i="11"/>
  <c r="G19" i="11"/>
  <c r="G18" i="11"/>
  <c r="G17" i="11"/>
  <c r="G16" i="11"/>
  <c r="G15" i="11"/>
  <c r="G14" i="11"/>
  <c r="G13" i="11"/>
  <c r="G12" i="11"/>
  <c r="G11" i="11"/>
  <c r="G10" i="11"/>
  <c r="G9" i="11"/>
  <c r="G8" i="11"/>
  <c r="G7" i="11"/>
  <c r="G6" i="11"/>
  <c r="G5" i="11"/>
  <c r="G4" i="11"/>
  <c r="G2" i="11"/>
  <c r="G81" i="11" l="1"/>
</calcChain>
</file>

<file path=xl/sharedStrings.xml><?xml version="1.0" encoding="utf-8"?>
<sst xmlns="http://schemas.openxmlformats.org/spreadsheetml/2006/main" count="705" uniqueCount="503">
  <si>
    <t>DIRETORIA</t>
  </si>
  <si>
    <t>CCRC</t>
  </si>
  <si>
    <t>CCRR</t>
  </si>
  <si>
    <t>CCRF</t>
  </si>
  <si>
    <t>DG</t>
  </si>
  <si>
    <t>TOTAL</t>
  </si>
  <si>
    <t>CT</t>
  </si>
  <si>
    <t>CONTRATADA</t>
  </si>
  <si>
    <t>OBJETO</t>
  </si>
  <si>
    <t>MODALIDADE</t>
  </si>
  <si>
    <t>CNPJ/CPF</t>
  </si>
  <si>
    <t>VALOR</t>
  </si>
  <si>
    <t>023/2024</t>
  </si>
  <si>
    <t>ADALGISA CRAVO TEIXEIRA LAGIOIA TREINAMENTO</t>
  </si>
  <si>
    <t xml:space="preserve">Contratação de empresa especializada para a execução de consultoria continuada na área de contabilidade, gestão de sistemas e gestão patrimonial, </t>
  </si>
  <si>
    <t>INEXIGIBILIDADE DE LICITAÇÃO  N° 002/2024</t>
  </si>
  <si>
    <t>36.125.431/0001-21</t>
  </si>
  <si>
    <t>040/2022</t>
  </si>
  <si>
    <t>DG-LOCAÇÃO</t>
  </si>
  <si>
    <t>FRANCISCO DE SOUSA (SANTA LUZIA DO PARUA)</t>
  </si>
  <si>
    <t>Locação do imóvel do Sr. Francisco Sousa no Município de Santa Luzia do Parauá</t>
  </si>
  <si>
    <t>DISPENSA DE LICITAÇÃO  N° 1</t>
  </si>
  <si>
    <t>861.699.203-00</t>
  </si>
  <si>
    <t>047/2021</t>
  </si>
  <si>
    <t>CSA CONSULTORIA E SISTEMAS ABERTOS LTDA</t>
  </si>
  <si>
    <t>Contratação de empresa especializada para a execução de serviços de atualização, manutenção e assistência técnica do Sistema Radar Empresarial módulos Contábil, Conciliação,Compras,Estoque,Financeiro,Adiantamento de Viagems,MT Patrimonial MT Fiscal Arquivos Magneticos  Radar IRPJ Radar Orçamento e Radar Integrador</t>
  </si>
  <si>
    <t>Inexigibilidade de Licitação</t>
  </si>
  <si>
    <t>41.490.848/0001-23</t>
  </si>
  <si>
    <t>025/2024</t>
  </si>
  <si>
    <t xml:space="preserve">Sra VANDA MARIA CONCEIÇÃO DE ARAUJO (locatária) </t>
  </si>
  <si>
    <t>Locação de imóvel situado na rua Dom Mota, nº 192  Centro, município de Buriticupu/ Ma, para funcionamento do Escritório Local.</t>
  </si>
  <si>
    <t>DISPENSA DE LICITAÇÃO N° 011/2024</t>
  </si>
  <si>
    <t>922.925.423-15</t>
  </si>
  <si>
    <t>CV 003/2023</t>
  </si>
  <si>
    <t>ASSOCIAÇÃO DOS SERVIDORES DA CAEMA DE SÃO LUÍS/MA - ASSERCA</t>
  </si>
  <si>
    <t>Autorização de concessão de descontos em folha, referentes a contribuições sociais, convênios e quitação de despesas de associado titular da ASSERCA</t>
  </si>
  <si>
    <t>CONVÊNIO</t>
  </si>
  <si>
    <t>03.010.767/0001-90</t>
  </si>
  <si>
    <t>CV 006/2023</t>
  </si>
  <si>
    <t>ASSOCIAÇÃO DOS SERVIDORES DA CAEMA DE ITAPECURU MIRIM/MA - ASSERCA II</t>
  </si>
  <si>
    <t>Concessão de descontos em folha referentes a contribuições sociais, convênios e quitação de despesas de associado titular da ASSERCA</t>
  </si>
  <si>
    <t>23.673.478/0001-88</t>
  </si>
  <si>
    <t>074/2023</t>
  </si>
  <si>
    <t>ANTONIA LEOMAR VIERA MARTINS (S. JOSÉ DOS BASÍLIOS)</t>
  </si>
  <si>
    <t>Locação o imóvel situado na Rua Magalhães de Almeida, 358, Centro, Município de SÃO JOSÉ DOS BASÍLIOS/MA, para funcionamento do Escritório Local.</t>
  </si>
  <si>
    <t>DISPENSA DE LICITAÇÃO  N° 001/2018</t>
  </si>
  <si>
    <t>328.511.973-04</t>
  </si>
  <si>
    <t>077/2023</t>
  </si>
  <si>
    <t>LYRA TECNOLOGIA E GESTAO EM M2M LTDA</t>
  </si>
  <si>
    <t>Serviço de transmissao de dados de multioperadora de celular para telemetria e comunicação de dado com plantaforma de gestão integrado on-line.</t>
  </si>
  <si>
    <t>DIPENSA DE LICITAÇÃO N° 021/2023</t>
  </si>
  <si>
    <t>27.554.839/0001-28</t>
  </si>
  <si>
    <t>029/2024</t>
  </si>
  <si>
    <t>LOCAÇÃO MARANHÃOZINHO</t>
  </si>
  <si>
    <t>Locação de imóvel situado na rua Boa Vista, MARANHÃOZINHO/MA, para funcionamento do Escritório Local.</t>
  </si>
  <si>
    <t>DISPENSA DE LICITAÇÃO 
N° 015/2024</t>
  </si>
  <si>
    <t>279.220.653-53</t>
  </si>
  <si>
    <t>037/2024</t>
  </si>
  <si>
    <t xml:space="preserve">C&amp;S VIGILÂNCIA E SEGURANÇA PATRIMONIAL LTDA </t>
  </si>
  <si>
    <t>PRESTAÇÃO DE SEVIÇOS CONTINUADOS DE VIGIÂNCIA ARMADA E VIGILÂNCIA MOTORIZADA, SEGURANÇA FÍSICA E PATRIMONIAL, DIURNA E NOTURNA. SÃO LUIS-MA, ITALUÍS E BACABEIRA-MA.</t>
  </si>
  <si>
    <t>LICITAÇÃO ELETRÔNICA Nº 007/2024-PRL/CAEMA</t>
  </si>
  <si>
    <t>14151000/0002-88</t>
  </si>
  <si>
    <t>059/2022</t>
  </si>
  <si>
    <t>SENIOR SISTEMAS</t>
  </si>
  <si>
    <t>serviços de atualização legal, suporte técnico de solução integrada de tecnologia e gestão de recursos humanos</t>
  </si>
  <si>
    <t>Inexigibilidade de Licitação N° 003/2022</t>
  </si>
  <si>
    <t>80.680.093/0001-81</t>
  </si>
  <si>
    <t>CV 007/2023</t>
  </si>
  <si>
    <t>ASSOCIAÇÃO DOS SERVIDORES DA CAEMA DE IMPERATRIZ/MA - ASSERCA</t>
  </si>
  <si>
    <t>41.371.311/0001-44</t>
  </si>
  <si>
    <t>074/2022</t>
  </si>
  <si>
    <t>RAMILTON BANDEIRA BRAGA (ARAME)</t>
  </si>
  <si>
    <t xml:space="preserve">Locação de imóvel situado na Rua Ulisses Guimarães, n 730, Centro, MUNICÍPIO DE ARAME/MA, para funcionamento do Escritório Local </t>
  </si>
  <si>
    <t>Dispensa de licitação</t>
  </si>
  <si>
    <t>603.699.203-00</t>
  </si>
  <si>
    <t>038/2024</t>
  </si>
  <si>
    <t xml:space="preserve">IPED EDUCAÇÃO CORPORATIVA LTDA </t>
  </si>
  <si>
    <t>Contratação de empresa especializada em serviços de capacitação, aprendizagem e treinamentos, mediante plataformas de cursos online, para os funcionários da Companhia de Saneamento Ambiental do Maranhão – CAEMA.</t>
  </si>
  <si>
    <t>INEXIGIBILIDADE DE LICITAÇÃO N°  007/2024</t>
  </si>
  <si>
    <t>32.283.883/0001-80</t>
  </si>
  <si>
    <t>039/2024</t>
  </si>
  <si>
    <t xml:space="preserve">HUMANA ASSISTÊNCIA MÉDICA LTDA </t>
  </si>
  <si>
    <t>Contratação de operadora, administradora de benefícios ou seguradora de plano de assistência à saúde, com registro na Agência Nacional de Saúde Suplementar - ANS, para operar plano privado de assistência à saúde, destinado aos empregados e cargos comissionados da CAEMA.</t>
  </si>
  <si>
    <t>LICITAÇÃO ELETRÔNICA N.° 009/2024-PRL/CAEMA</t>
  </si>
  <si>
    <t>00.361.325/0001-08</t>
  </si>
  <si>
    <t>052/2021</t>
  </si>
  <si>
    <t>LINK CARD ADMINISTRADORA DE BENEFÍCIOS EIRELI</t>
  </si>
  <si>
    <t>Contratação de empresa especializada na prestação de serviçosde gerenciamento informatizado de manutenção da frota de veículos da CAEMA</t>
  </si>
  <si>
    <t>Ata de Registro de Preços nº 018/2020 Supli GEGCO/AGESPISA (carona)</t>
  </si>
  <si>
    <t>12.039.966/0001-11</t>
  </si>
  <si>
    <t>053/2021</t>
  </si>
  <si>
    <t>LINK CARD ADMINISTRADORA DE BENEFÍCIOS LTDA</t>
  </si>
  <si>
    <t>Contratação de empresa especializada no gerenciamento eletrônico e controle de abastecimento,implantação eoperação de um sistema informatizado /integrado com utilizaçãode cartão magnético viaweb que perimta o funcionamento de combustíveis gasolina comum, diesel s10) através de redes de postos credenciados para atender a frota de veículos da CAEMA</t>
  </si>
  <si>
    <t>Ata de Registro de Preços nº 004/2021 Supli GEGCO/AGESPISA (carona)</t>
  </si>
  <si>
    <t>044/2024</t>
  </si>
  <si>
    <t xml:space="preserve">EMPRESA D B MORAES SOUZA ME </t>
  </si>
  <si>
    <t>Contratação de empresa especializada na manutenção de redes de fibra óptica, incluindo cabos, distribuidores ópticos, fusões ópticas, conversores ópticos e outros componentes relacionados. O  serviço contemplará as seguintes destinações: na Companhia de Saneamento Ambiental do Maranhão - CAEMA do Sacavém, Italuís e SEDE.</t>
  </si>
  <si>
    <t>DISPENSA DE LICITAÇÃO N° 019/2024</t>
  </si>
  <si>
    <t>26.857.138/0001-03</t>
  </si>
  <si>
    <t>056/2024</t>
  </si>
  <si>
    <t xml:space="preserve">FUNDAÇÃO JOSUÉ MONTELO </t>
  </si>
  <si>
    <t>Contratação de instituição brasileira incumbida regimental ou estatutariamente da pesquisa, do ensino ou do desenvolvimento institucional, para apoio ao desenvolvimento institucional da CAEMA, por meio de projeto especifico que contempla a alocação de recursos tecnológicos, material permanente e pessoal qualificado na Area de saneamento ambiental, especificamente com a execução de um Projeto de Otimização dos Serviços de Abastecimento de Agua nos municípios do interior do estado do Maranhao.</t>
  </si>
  <si>
    <t>DISPENSA DE LICITAÇÃO
N° 027/2024</t>
  </si>
  <si>
    <t>01.441.372/0001-16</t>
  </si>
  <si>
    <t>060/2024</t>
  </si>
  <si>
    <t>C.I. COMUNICAÇÃO &amp; INFORMAÇÃO LTDA</t>
  </si>
  <si>
    <t>Contratação de empresa especializada, para prestação de serviços de clipping e mensuração de mídia, de todos os assuntos que fizerem referência à Companhia de Saneamento Ambiental do Maranhão (CAEMA) nas cidades de São Luís, Imperatriz, Chapadinha, Pinheiro, Presidente Dutra e Santa Inês, no Estado do Maranhão.</t>
  </si>
  <si>
    <t>INEXIGIBILIDADE DE
LICITAÇÃO N° 012/2024</t>
  </si>
  <si>
    <t>07.461.897/0001-08</t>
  </si>
  <si>
    <t>087/2023</t>
  </si>
  <si>
    <t>LETÁCIO DE SÁ COÊLHO (NOVA IORQUE)</t>
  </si>
  <si>
    <t>Locação do imóvel situado na Travessa da Rua Nova, s/n, Centro , no Município de Nova Iorque MA</t>
  </si>
  <si>
    <t>DISPENSA DE LICITAÇÃO N° 028/2023</t>
  </si>
  <si>
    <t>282.510.913-49</t>
  </si>
  <si>
    <t>105/2023</t>
  </si>
  <si>
    <t>CSF SERVIÇOS DIGITAIS LTDA</t>
  </si>
  <si>
    <t xml:space="preserve">Locação de impressoras e multifuncionais </t>
  </si>
  <si>
    <t>PREGÃO ELETRONICO 011/2023</t>
  </si>
  <si>
    <t>106/2023</t>
  </si>
  <si>
    <t>FATOR COMÉRCIO E SERVIÇOS LTDA</t>
  </si>
  <si>
    <t xml:space="preserve">Locação de impressoras e multifuncionais através de solução de impressão departamental </t>
  </si>
  <si>
    <t>10.476.972/0001-00</t>
  </si>
  <si>
    <t>088/2023</t>
  </si>
  <si>
    <t>JOSÉ CARLOS PONTES (BENEDITO LEITE)</t>
  </si>
  <si>
    <t>Locação do imóvel situado na Rua Getúlio Vargas, s/n, centro, no Município de Benedito Leite/MA, para funcionamento do Escritório Local nesse Município</t>
  </si>
  <si>
    <t>DISPENSA DE LICITAÇÃO N° 029/2023</t>
  </si>
  <si>
    <t>151.807.351-49</t>
  </si>
  <si>
    <t>071/2024</t>
  </si>
  <si>
    <t xml:space="preserve">F E DOS SANTOS COMÉRCIO LTDA </t>
  </si>
  <si>
    <t xml:space="preserve">Contratação de empresa especializada para a prestação de serviços gráficos diversos.
</t>
  </si>
  <si>
    <t>DISPENSA DE LICITAÇÃO
N° 036/2024</t>
  </si>
  <si>
    <t>06.315.506/0001-76</t>
  </si>
  <si>
    <t>043/2025</t>
  </si>
  <si>
    <t>CONTROLE SERVIÇOS E COMERCIO DE INFORMÁRICA</t>
  </si>
  <si>
    <t>Fornecimento com entrega de equipamentos de informática.</t>
  </si>
  <si>
    <t>Licitação Eletrônica n.º 030/2024-PRL/CAEMA</t>
  </si>
  <si>
    <t>10.592.584/0002-76</t>
  </si>
  <si>
    <t>094/2022</t>
  </si>
  <si>
    <t>CONCEIÇÃO DE MARIA BASBOSA DE FREITAS (GOV. LUIZ ROCHA)</t>
  </si>
  <si>
    <t xml:space="preserve">Locação de imóvel para funcionamento do escritório local de Governador Luiz Rocha </t>
  </si>
  <si>
    <t>Dispensa de Licitação nº 012/2022</t>
  </si>
  <si>
    <t>977.630.203-34</t>
  </si>
  <si>
    <t>073/2024</t>
  </si>
  <si>
    <t xml:space="preserve">ATLANTA TURISMO LTDA </t>
  </si>
  <si>
    <t>Contratação de empresa especializada para reserva, emissão, marcação, remarcação e fornecimento de passagens aéreas nacionais, para atender às necessidades da Companhia de Saneamento Ambiental do Maranhão- CAEMA.</t>
  </si>
  <si>
    <t>LICITAÇÃO ELETRÔNICA
N° 018/2024</t>
  </si>
  <si>
    <t>08.022.073/0001-96</t>
  </si>
  <si>
    <t>105/2022</t>
  </si>
  <si>
    <t>IPNET SERVIÇOS EM NUVEM E DESENVOLVIMENTO DE</t>
  </si>
  <si>
    <t>Contratação de solução integrada de comunicação corporativa baseada em computação em nuvem(Cloud Computing) incluindo suporte técnico, implantação e treinamento</t>
  </si>
  <si>
    <t>Adesão a ARP PL  n°039/2021 - BANESE</t>
  </si>
  <si>
    <t>32.578.382/0001-21</t>
  </si>
  <si>
    <t>096/2021</t>
  </si>
  <si>
    <t>JOSÉ OSMAR SILVA (VITÓRIA DO MEARIM)</t>
  </si>
  <si>
    <t>Contatatato de  locação de imóvel situado na Rua Urbano
Santos, N° 85 — Centro, Município de Vitoria do Mearim/MA, para funcionamento do Escritório Local, com sua vigência de 12 (doze) meses, contados a partir da assinatura do
contrato.</t>
  </si>
  <si>
    <t>Dispensa de Licitação</t>
  </si>
  <si>
    <t>158.005.123-53</t>
  </si>
  <si>
    <t>107/2023</t>
  </si>
  <si>
    <t>MASTERPONTO EQUIPAMENTOS E SISTEMAS LTDA</t>
  </si>
  <si>
    <t>Contratação de empresa especializada para prestação dos serviços de manutenção preventiva e corretiva dos relogios de ponto eletrônico.</t>
  </si>
  <si>
    <t>DISPENSA DE LICITAÇÃO N° 030/2023</t>
  </si>
  <si>
    <t>07.652.413/0001-08</t>
  </si>
  <si>
    <t>078/2024</t>
  </si>
  <si>
    <t xml:space="preserve">APLEX DISTRIBUIDORA DE PRODUTOS DE TECNOLOGIA </t>
  </si>
  <si>
    <t>Contratação de empresa para a prestação de serviço comum, atinente ao fornecimento de 1000 (mil) licenças do Antivírus Kaspersky, para proteção das estações e servidores desta Companhia, com garantia de 01 ano.</t>
  </si>
  <si>
    <t>DISPENSA DE LICITAÇÃO
N° 039/2024</t>
  </si>
  <si>
    <t>24.413.094/0001-99</t>
  </si>
  <si>
    <t>066/2020</t>
  </si>
  <si>
    <t>HAPVIDA ASSISTÊNCIA MÉDICA LTDA</t>
  </si>
  <si>
    <t>A prestação de serviços de assistência odontológica, para atender aos empregados da CAEMA e dependentes, com cobertura eletiva, envolvendo todos os meios de diagnóstico e tratamento em São Luís e em 9 (nove) Gerencias regio-nais, de forma integral, através de rede própria e/ou credenciada, e de urgência e/ou emergência em todo território nacional</t>
  </si>
  <si>
    <t>PREGÃO ELETRÔNICO Nº 031/2020/PRE/CAEMA</t>
  </si>
  <si>
    <t>63.554.067/0001-98</t>
  </si>
  <si>
    <t>044/2020</t>
  </si>
  <si>
    <t>SODEXO PASS DO BRASIL SERVIÇOS E COMERCIO S.A</t>
  </si>
  <si>
    <t xml:space="preserve"> Contratação de empresa especializada na administração, gerenciamento, emissão, distribuição e fornecimento de Vale Alimentação e Vale Refeição</t>
  </si>
  <si>
    <t>Pregão Eletronicoº 024/2020 - PRE/CAEMA</t>
  </si>
  <si>
    <t>69.034.668/0001-56</t>
  </si>
  <si>
    <t>001/2024</t>
  </si>
  <si>
    <t>EMPRESA METODO TELECOMUNICAÇÕES E COMÉRCIO LTDA</t>
  </si>
  <si>
    <t>Prestação de serviços de telefonia VOIP (PABX CLOUD)</t>
  </si>
  <si>
    <t>PREGÃO ELETRONICO 035/2023</t>
  </si>
  <si>
    <t>65295172000185</t>
  </si>
  <si>
    <t>001/2021</t>
  </si>
  <si>
    <t>SINDICATO DAS EMPRESAS DE TRANSPORTES - SET</t>
  </si>
  <si>
    <t xml:space="preserve">Contratação de empresa para prestação dos serviços de fornecimento de vale transporte eletrônico aos empregados pelo período de 12 (doze) meses, pelo valor estimado mensal R$ 85.746,70 (oitenta e inco mil setecentos e quarenta e seis reais e setenta centavos) e pelo valor anual R$ 1.028.960,40 (um milhão vinte e oito mil novecentos e sessenta reais e quarenta centavos). </t>
  </si>
  <si>
    <t>05.750.146/0001-78</t>
  </si>
  <si>
    <t>MÉTODO TELECOMUNICAÇÕES E COMÉRCIO LTDA</t>
  </si>
  <si>
    <t>006/2024</t>
  </si>
  <si>
    <t>MARANHÃO PARCERIAS MAPA</t>
  </si>
  <si>
    <t xml:space="preserve">Gerenciamento de prestação dos serviços continuados de vigilância eletrônica monitorada à distância, em regime de comodato, contemplando o fornecimento de todos os equipamentos, materiais e mão de obra para a implantação/instalação, manutenção preventiva e corretiva e o monitoramento a distância
</t>
  </si>
  <si>
    <t xml:space="preserve">DISPENSA DE LICITAÇÃO  N° </t>
  </si>
  <si>
    <t>06281794000195</t>
  </si>
  <si>
    <t>CV 001/2023</t>
  </si>
  <si>
    <t>SERVIÇO NACIONAL DE APREDIZAGEM INDUSTRIAL - SENAI</t>
  </si>
  <si>
    <t>Parceria entre a CAEMA e o SENAI para o desenvolvimento do Programa Jovem Aprendiz da CAEMA</t>
  </si>
  <si>
    <t>03.755.543/000179</t>
  </si>
  <si>
    <t>008/2025</t>
  </si>
  <si>
    <t>AROMA E SABOR ALIMENTOS</t>
  </si>
  <si>
    <t>Contratação de empresa especializada em fornecimento de refeições, compreendendo preparação, transporte e distribuição, fornecimento de insumos (gêneros alimentícios, materiais de limpeza e descartáveis), higienização de utensílios, equipamentos, dedetização da área física, manutenção corretiva e preventiva de equipamentos.</t>
  </si>
  <si>
    <t>LICITAÇÃO ELETRÔNICA
N° 032/2024</t>
  </si>
  <si>
    <t>13.386.808/0001-09</t>
  </si>
  <si>
    <t>012/2021</t>
  </si>
  <si>
    <t>AUDILINK &amp; CIA AUDITORES</t>
  </si>
  <si>
    <t>Contratação de empresa especializada para a prestação de serviços de auditoria independente nas demonstrações contábeis da Companhia de Saneamento Ambiental do Maranhão — CAEMA para o exercício a findar-se em 31 de dezembro de 2020 e os 03 (três) primeiros trimestres de 2021</t>
  </si>
  <si>
    <t>Pregão Eletrônico nº° 001/2021 - PRE/CAEMA</t>
  </si>
  <si>
    <t>02.163.575/0012-03</t>
  </si>
  <si>
    <t>006/2023</t>
  </si>
  <si>
    <t>PAGPLAN SERVIÇOS DE TECNOLOGIA EM PAGAMENTOS LTDA</t>
  </si>
  <si>
    <t>Credenciarnento de empresa especializada, adquirente ou subadquirente, para prestação de serviços na modalidade de licenciamento e fornecimento de gateway de pagamentos para prover aos clientes CAEMA o meio de pagamentos on-line, por meio eletrônico, que possibilite realizar a captura, roteamento, transmissão e processamento de transações financeiras com cartões de crédito e débito, à vista e parcelados, para operações de pagamento oriundos das contas de consumo, multas e demais taxas devidas de recebiveis dos Clientes desta Companhia</t>
  </si>
  <si>
    <t>CREDENCIAMENTO N° 001/2019</t>
  </si>
  <si>
    <t>37.224.002/0001-74</t>
  </si>
  <si>
    <t>008/2023</t>
  </si>
  <si>
    <t>KELLY ANNE LIMA FERREIRA (DAVINOPOLIS)</t>
  </si>
  <si>
    <t>Locação o imóvel para funcionamento do Escritório Local no Município de DAVINÓPOLIS/MA</t>
  </si>
  <si>
    <t>DISPENSA DE LICITAÇÃO  N° 04/2023</t>
  </si>
  <si>
    <t xml:space="preserve"> 009.431.743-76</t>
  </si>
  <si>
    <t>014/2023</t>
  </si>
  <si>
    <t>APARECIDA MARIA DE SOUZA SILVA (SÃO PEDRO DA AGUA BRANCA)</t>
  </si>
  <si>
    <t>Locação de imóvel para funcionamento do Escritório Local no Município de SÃO PEDRO DA ÁGUA BRANCA/MA.</t>
  </si>
  <si>
    <t>DISPENSA DE LICITAÇÃO  N° 003/2023</t>
  </si>
  <si>
    <t>302.490.312-72</t>
  </si>
  <si>
    <t>023/2022</t>
  </si>
  <si>
    <t>PRIME CONSTRUÇÕES E SERVIÇOS EIRELI</t>
  </si>
  <si>
    <t>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em IMPERATRIZ (LOTE 02)</t>
  </si>
  <si>
    <t>Pregão Eletrônico n.° 083/2021</t>
  </si>
  <si>
    <t>04.365.758/0001-84</t>
  </si>
  <si>
    <t>010/2023</t>
  </si>
  <si>
    <t>MARIA DOS AFLITOS VIANA (SANTA QUITERIA)</t>
  </si>
  <si>
    <t>Locação de imóvel para funcionamento do Escritório Local no Município de Santa Quitéria/MA</t>
  </si>
  <si>
    <t>DISPENSA DE LICITAÇÃO  N° 05/2023</t>
  </si>
  <si>
    <t>471.421.623-68</t>
  </si>
  <si>
    <t>011/2023</t>
  </si>
  <si>
    <t>OSMARINA GOMES DUARTE (AFONSO CUNHA)</t>
  </si>
  <si>
    <t>Locação o imóvel para funcionamento do Escritório Local no Município de AFONSO CUNHA/MA</t>
  </si>
  <si>
    <t>DISPENSA DE LICITAÇÃO  N° 02/2023</t>
  </si>
  <si>
    <t>449.297.573-04</t>
  </si>
  <si>
    <t>022/2022</t>
  </si>
  <si>
    <t>MALKA SERVICE LTDA EPP</t>
  </si>
  <si>
    <t>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localizados na capital ITALUIS - LOTE 01</t>
  </si>
  <si>
    <t>24.891.740/0001-23</t>
  </si>
  <si>
    <t>001/2022</t>
  </si>
  <si>
    <t>PD CASE/RAS INFORMÁTICA LTDA</t>
  </si>
  <si>
    <t>GARANTIA CONTRATUAL: n. 0306920229907750691792000</t>
  </si>
  <si>
    <t>GARANTIA CONTRATUAL</t>
  </si>
  <si>
    <t>38.519.484/0001-52</t>
  </si>
  <si>
    <t>030/2025</t>
  </si>
  <si>
    <t xml:space="preserve">  Contratação da MARANHÃO PARCERIAS - MAPA para o gerenciamento de 25 (vinte e cinco) postos de trabalho de vigilância desarmada, abrangendo turnos diurnos e noturnos, em regime contínuo, incluindo o fornecimento de todos os insumos, acessórios e equipamentos necessários, de forma a atender a necessidade da Companhia de Saneamento Ambiental do Maranhão - CAEMA em unidades localizadas em São Luís; nas Gerências de Serviços e Negócios de Pinheiro, Barreirinhas, Chapadinha, Pedreiras, Colinas, Santa Inês, Imperatriz, Itapecuru Mirim e Presidente Dutra; nas Coordenadorias Especiais de Coroatá, São João dos Patos, São Raimundo das Mangabeiras</t>
  </si>
  <si>
    <t>DISPENSA DE LICITAÇÃO</t>
  </si>
  <si>
    <t>06.281.794/0001-95</t>
  </si>
  <si>
    <t>031/2025</t>
  </si>
  <si>
    <t>MIRAINOX LTDA</t>
  </si>
  <si>
    <t>O presente Contrato tem por objeto a aquisição de equipamentos e materiais, como a máquina envasadora, mesa acumuladora para envasar água mineral/tratada em copos, compatíveis com 200 até 300ml, com capacidade de produção de 2.500 a 3.100 unid/hora</t>
  </si>
  <si>
    <t>Licitação Eletrônica n.º 002/2025-PRL/CAEMA</t>
  </si>
  <si>
    <t>02.627.690/0001-39</t>
  </si>
  <si>
    <t>032/2025</t>
  </si>
  <si>
    <t>RD COMERCIAL</t>
  </si>
  <si>
    <t>O presente contrato tem por objeto a aquisição de equipamentos e materiais, como, copos plásticos, selos de alumínio e caixas de proteção de papelão, destinados exclusivamente ao processo de envase</t>
  </si>
  <si>
    <t>38.560.437/0001/52</t>
  </si>
  <si>
    <t>025/2023</t>
  </si>
  <si>
    <t>MJ TERCEIRIZAÇÃO E SERVIÇO LTDA</t>
  </si>
  <si>
    <t xml:space="preserve">Serviço de manutenção preventiva e corretiva em aparelhos de ar condicionados tipo Slpit. </t>
  </si>
  <si>
    <t>Pregão Eletrõnico n° 072/2022</t>
  </si>
  <si>
    <t>24.829.055/0001-77</t>
  </si>
  <si>
    <t>034/2021</t>
  </si>
  <si>
    <t>OEDSON ALVES BEZERRA (MIRADOR)</t>
  </si>
  <si>
    <t>Locação de imóvel para o  funcionamento  de  escritório no  Município  de  Mirador/MA</t>
  </si>
  <si>
    <t>146.370.063-68</t>
  </si>
  <si>
    <t>029/2023</t>
  </si>
  <si>
    <t>TRANSPORTES REQUINTE LTDA</t>
  </si>
  <si>
    <t>Serviços de transporte coletivo para a condução de funcionários da CAEMA lotados no sistema Sacavém</t>
  </si>
  <si>
    <t>PREGÃO ELETRÔNICO N° 001/2023</t>
  </si>
  <si>
    <t>06.077.708/0001-27</t>
  </si>
  <si>
    <t>032/2023</t>
  </si>
  <si>
    <t>CARLOS AUGUSTO SANTOS GONÇALVES (MORROS)</t>
  </si>
  <si>
    <t xml:space="preserve">Locação o imóvel situado no Município de MORROS /MA, para funcionamento do Escritório Local. </t>
  </si>
  <si>
    <t>DISPENSA DE LICITAÇÃO N° 011/2023- CAEMA</t>
  </si>
  <si>
    <t>255.033.403-53</t>
  </si>
  <si>
    <t>027/2022</t>
  </si>
  <si>
    <t>PROMAXIMA GESTÃO EMPRESARIAL LTDA</t>
  </si>
  <si>
    <t>Contratação de empresa especializada para a prestação de serviço de assinatura online da ferramenta Fonte de Preço, que se constitui em banco de dados desenvolvidfo para auxiliar todas as fases da contratação pública, ou seja, da fase interna (pesquisa de preço, especificação de bem/serviço...) até a fase externa (julgamento das propostas)</t>
  </si>
  <si>
    <t>16.538.909/0001-38</t>
  </si>
  <si>
    <t>017/2024</t>
  </si>
  <si>
    <t>Sra MARIA ROSEMAR PEREIRA DA COSTA (LOCATÁRIA)</t>
  </si>
  <si>
    <t>Locação de imóvel situado na travessa José Reis, município de Colinas/ Ma, para funcionamento do Escritório Local.</t>
  </si>
  <si>
    <t>DISPENSA DE LICITAÇÃO  N° 009/2024</t>
  </si>
  <si>
    <t>027.***.***-19</t>
  </si>
  <si>
    <t>021/2024</t>
  </si>
  <si>
    <t>WIKI TELECOMUNICAÇÕES LTDA</t>
  </si>
  <si>
    <t>Contratação de empresa para a prestação de serviço de, fornecimento de conectividade IP – Internet Protocolo, por meio de link dedicado.</t>
  </si>
  <si>
    <t>DISPENSA DE LICITAÇÃO N° 005/2024</t>
  </si>
  <si>
    <t>11.509.434/0001-38</t>
  </si>
  <si>
    <t>034/2024</t>
  </si>
  <si>
    <t xml:space="preserve">LOCAÇÃO SÃO BENEDITO </t>
  </si>
  <si>
    <t>Locação de  imóvel situado na Rua Evaristo Sousa, Município de SÃO BENEDITO DO RIO PRETO/MA, para funcionamento do Escritório Local.</t>
  </si>
  <si>
    <t>DISPENSA DE LICITAÇÃO  
N° 018/2024</t>
  </si>
  <si>
    <t>242.544.953-15</t>
  </si>
  <si>
    <t>058/2024</t>
  </si>
  <si>
    <t xml:space="preserve">SR. ALAN COELHO PASSARINHO </t>
  </si>
  <si>
    <t>Locação de  imóvel situado na Rua Manoel Olívio Carvalho, nº 255, Centro, Município de São Raimundo das Mangabeiras/MA, para funcionamento do Escritório Local.</t>
  </si>
  <si>
    <t>DISPENSA DE LICITAÇÃO N° 026/2024</t>
  </si>
  <si>
    <t>739.028.883-34</t>
  </si>
  <si>
    <t>009/2023</t>
  </si>
  <si>
    <t>SONIA MARIA DE OLIVEIRA COIMBRA (JATOBA)</t>
  </si>
  <si>
    <t>Locação o imóvel para funcionamento do Escritório Local no Município de JATOBÁ/MA</t>
  </si>
  <si>
    <t>DISPENSA DE LICITAÇÃO  N° 06/2023</t>
  </si>
  <si>
    <t>249.511.453-91</t>
  </si>
  <si>
    <t>037/2023</t>
  </si>
  <si>
    <t>MARIA DA CONCEIÇÃO DA SILVA (BACABEIRA)</t>
  </si>
  <si>
    <t xml:space="preserve">Locação o imóvel situado no Município de Bacabeira/MA, para funcionamento do Escritório Local. </t>
  </si>
  <si>
    <t>DISPENSA DE LICITAÇÃO N° 010/2023- CAEMA</t>
  </si>
  <si>
    <t>903.569.183-00</t>
  </si>
  <si>
    <t>034/2023</t>
  </si>
  <si>
    <t>ANTONIA MARIA MACEDO LOPES FONSECA (FORTALEZA DOS NOGUEIRAS)</t>
  </si>
  <si>
    <t>Locação o imóvel no MUNICÍPIO DE FORTALEZA DOS NOGUEIRAS/MA, para funcionamento do Escritório Local</t>
  </si>
  <si>
    <t>DISPENSA DE LICITAÇÃO N° 015/2023</t>
  </si>
  <si>
    <t>650.080.493-72</t>
  </si>
  <si>
    <t>015/2024</t>
  </si>
  <si>
    <t>GUSTAVO MARTINS ROCHA</t>
  </si>
  <si>
    <t>Execução dos serviços de leiloeiros oficial para alienação de bens móveis inservíveis de propriedade da  CAEMA</t>
  </si>
  <si>
    <t>CREDENCIAMENTO  N° 01/2022</t>
  </si>
  <si>
    <t>085.248.657-09</t>
  </si>
  <si>
    <t>046/2025</t>
  </si>
  <si>
    <t>ALFAPEOPLE DO BRASIL CONSULTORIA DE INFORMÁTICA</t>
  </si>
  <si>
    <t>serviço comum consistente no fornecimento de 50 (cinquenta) licenças de uso de software na nuvem (Software as a Service - SaaS) de Business Intelligence (BI) por meio da suíte Microsoft Power BI na sua versão PRO e 01 (uma) licença do referido software na sua versão PREMIUM,</t>
  </si>
  <si>
    <t>07.099.365/0001-64</t>
  </si>
  <si>
    <t>051/2025</t>
  </si>
  <si>
    <t>CALIMAX EQUIPAMENTOS E SERVIÇOS LTDA</t>
  </si>
  <si>
    <t>O presente Contrato tem por objeto contratação de empresa especializada na prestação de serviços relacionados a extintores, incluindo recarga, testes hidrostáticos, reposição de peças, em conformidade com as normas técnicas vigentes (ABNT/INMETRO)</t>
  </si>
  <si>
    <t>01.841.416/0001-03</t>
  </si>
  <si>
    <t>052/2025</t>
  </si>
  <si>
    <t>S R F SANTOS LTDA</t>
  </si>
  <si>
    <t>o fornecimento com entrega de móveis, utensílios e equipamentos a serem utilizados em diversas áreas da CAEMA</t>
  </si>
  <si>
    <t>Licitação Eletrônica n.º 017/2024-PRL/CAEMA</t>
  </si>
  <si>
    <t>19.681.524/0001-13</t>
  </si>
  <si>
    <t>053/2025</t>
  </si>
  <si>
    <t>BANCO BRADESCO S/A</t>
  </si>
  <si>
    <t>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t>
  </si>
  <si>
    <t>Credencaimento</t>
  </si>
  <si>
    <t>60.746.948/0001-12</t>
  </si>
  <si>
    <t>058/2025</t>
  </si>
  <si>
    <t>INSTITUTO EUVALDO LODI NUCLEO REGIONAL - IEL</t>
  </si>
  <si>
    <t>contratação de empresa especializada em gerenciamento de Programas de Estágio, atendendo as definições, condições e especificações inseridas pela Lei nº 11.788/08, no Decreto nº 37.746/2022.</t>
  </si>
  <si>
    <t>06.303.549/0001-31</t>
  </si>
  <si>
    <t>047/2025</t>
  </si>
  <si>
    <t>CLARO S.A</t>
  </si>
  <si>
    <t>Empresa prestadora de Serviço de Telefonia Móvel Pessoal (SMP), legalmente autorizada pela Agência Nacional de Telecomunicações – ANATEL</t>
  </si>
  <si>
    <t>Inexibilidade de licitação</t>
  </si>
  <si>
    <t>40.432.544/0245-93</t>
  </si>
  <si>
    <t>048/2025</t>
  </si>
  <si>
    <t>LOCAMIL SERVIÇOS LTDA</t>
  </si>
  <si>
    <t>Contratação de empresa especializada para locação de motocicletas e veiculos tipo hatch, pick-up média e pick-up compacta, sem motorista e sem combustível.</t>
  </si>
  <si>
    <t>Licitação Eletrônica n.º 029/2024-PRL/CAEMA</t>
  </si>
  <si>
    <t>02743288/0001-10</t>
  </si>
  <si>
    <t>050/2025</t>
  </si>
  <si>
    <t xml:space="preserve">FLORIANRIUS </t>
  </si>
  <si>
    <t>Fornecimento com entrega de móveis, utensílios e equipamentos a serem utilizados em diversas áreas da CAEMA</t>
  </si>
  <si>
    <t>Licitação Eletrônica n. º 017/2024-PRL/CAEMA – ARP Nº 010/2025</t>
  </si>
  <si>
    <t>2.426.141/0001-81</t>
  </si>
  <si>
    <t>055/2025</t>
  </si>
  <si>
    <t>CAIXA ECONOMICA FEDERAL</t>
  </si>
  <si>
    <t>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 conforme Termo de Referência e demais normas estabelecidas no Regulamento do Credenciamento e Processo supra mencionado, que passa a integrar este instrumento, independentemente de transcrição.</t>
  </si>
  <si>
    <t>Credenciamento n.º 001/2025-PRL/CAEMA</t>
  </si>
  <si>
    <t>00.360.305/0001-04</t>
  </si>
  <si>
    <t>056/2025</t>
  </si>
  <si>
    <t>PREVEN CLIN LTDA</t>
  </si>
  <si>
    <t>Prestação de serviços contínuos em medicina do trabalho e saúde ocupacional, conforme especificações, quantitativos e condições do Termo de Referência, Anexo I deste Edital.</t>
  </si>
  <si>
    <t>Licitação Eletrônica n. º 005/2025-PRL/CAEMA</t>
  </si>
  <si>
    <t>43.453.808/0001-37</t>
  </si>
  <si>
    <t>059/2025</t>
  </si>
  <si>
    <t>O presente contrato tem por objeto a contratação de Empresa especializada para a prestação de serviços de mobilidade urbana, por meio de plataforma digital integrada, visando ao deslocamento institucional dos empregados da Companhia de Saneamento Ambiental do Maranhão – CAEMA, com gestão operacional, controle por aplicativo e monitoramento via sistema gerencial.</t>
  </si>
  <si>
    <t>062/2025</t>
  </si>
  <si>
    <t>ALFA ENGENHARIA DE INFORMÁTICA</t>
  </si>
  <si>
    <t>Aquisição de 32 baterias estacionárias de 70 amperes por 12 volts, que substituirão as que estão sendo usadas atualmente no nobreak SMS de 40 KVA de potência, responsável pela manutenção da geração elétrica do nosso Datacenter.</t>
  </si>
  <si>
    <t>00.252.212/0001-66</t>
  </si>
  <si>
    <t>063/2025</t>
  </si>
  <si>
    <t>DG - LOCAÇÃO</t>
  </si>
  <si>
    <t>MARTA ANDRE COSTA (ICATU)</t>
  </si>
  <si>
    <t>Locação o imóvel situado na Rua Barão do Rio Branco, nº 175, centro, Município de ICATU/MA, para funcionamento do Escritório Local, pelo prazo de 24 (vinte e quatro) meses, com vigência a partir da data de assinatura do presente Instrumento.</t>
  </si>
  <si>
    <t>ADITIVO I</t>
  </si>
  <si>
    <t>009.563.853-97</t>
  </si>
  <si>
    <t>068/2025</t>
  </si>
  <si>
    <t>Contratação de empresa especializada para locação de 02(dois) ônibus para transporte coletivo de passageiros para o Sistema Produtor Italuís, sendo um ônibus rodoviário com capacidade para 44 (quarenta e quatro) passageiros e um micro-ônibus rodoviário com capacidade para 24 (vinte e quatro) passageiros, a fim de atender a demanda de deslocamento dos colaboradores da CAEMA.</t>
  </si>
  <si>
    <t>ITEM</t>
  </si>
  <si>
    <t>TIPO DE CONTRATAÇÃO</t>
  </si>
  <si>
    <t>UNIDADE DEMANDANTE</t>
  </si>
  <si>
    <t xml:space="preserve">JUSTIFICATIVA </t>
  </si>
  <si>
    <t>PREVISÃO DE INICIO DA NOVA CONTRATAÇÃO</t>
  </si>
  <si>
    <t>ESTIMATIVA DE VALOR</t>
  </si>
  <si>
    <t>DOTAÇÃO ORÇAMENTÁRIA PREVISTA PARA 2026</t>
  </si>
  <si>
    <t>GRAU DE PRIORIDADE</t>
  </si>
  <si>
    <t>VINCULAÇÃO OU DEPENDÊNCIA DE OUTRO ITEM</t>
  </si>
  <si>
    <t>Serviço</t>
  </si>
  <si>
    <t>Alto</t>
  </si>
  <si>
    <t>Muito Alto</t>
  </si>
  <si>
    <t>-</t>
  </si>
  <si>
    <t>Médio</t>
  </si>
  <si>
    <t>CUSTO TOTAL</t>
  </si>
  <si>
    <t>Leitura, impressão simultânea, entrega de contas e atualização cadastral de clientes</t>
  </si>
  <si>
    <t>Prorrogação de contrato vigente. Comtemplando previsão de reajuste conforme condições contratuais e normativas aplicáveis visando garantir a continuidade da leitura e impressão simultânea de contas, com atualização cadastral, para manter manter o cronograma de leitura e qualidade no atendimento.</t>
  </si>
  <si>
    <t>Muito alto</t>
  </si>
  <si>
    <t>Não</t>
  </si>
  <si>
    <t>CCRH</t>
  </si>
  <si>
    <t>Serviços de Cobrança/Negativação</t>
  </si>
  <si>
    <t>Prorrogação de contrato vigente contemplando previsão de novo contrato e de reajuste conforme condições contratuais e normativas aplicáveis visando garantir a continuidade dos serviços de negativação de clientes inadimplentes, com foco na regularização de créditos vencidos.</t>
  </si>
  <si>
    <t>Impressão de contas</t>
  </si>
  <si>
    <t>Garantir a continuidade dos serviços gráficos nas áreas ainda sem leitura e impressão simultânea, assegurando a entrega das contas aos clientes.</t>
  </si>
  <si>
    <t>CET</t>
  </si>
  <si>
    <t>Cadastramento de clientes</t>
  </si>
  <si>
    <t>Contratação de empresa especializada para realização de novos cadastros e atualização cadastral, visando manter a base de dados atualizada e assegurar a regularidade das informações dos usuários.</t>
  </si>
  <si>
    <t>Outros</t>
  </si>
  <si>
    <t>Fundo Rotativo da Diretoria de Comercialização e Relacionamento com o Cliente - DC</t>
  </si>
  <si>
    <t>Necessidade de aquisição ou realização de serviços emergenciais na Diretoria Comercial e respectivas Gerências.</t>
  </si>
  <si>
    <t>Serviços de apoio operacional e auxiliares de informação</t>
  </si>
  <si>
    <t>A contratação de serviços especializados para a execução de atividades de campo e de atendimento ao cliente (técnicos e auxiliares de informação), com fornecimento de equipamentos e materiais necessários à realização dos serviços supracitados. A iniciativa contribuirá para maior eficiencia, padronização dos processos, redução do uso de papel e aumento da qualidade na relação com os clientes.</t>
  </si>
  <si>
    <t>Serviços Comerciais</t>
  </si>
  <si>
    <t>Empresa especializada nos serviços de corte, religação, instalação de hidrômetros, execução de ramais, com fornecimento de materiais, mão de obra e equipamentos, com o objetivo de garantir a regularização dos clientes, reduzir perdas de consumo e desperdício de água, melhorar o controle e gestão do sistema de abastecimento, e, consequentemente, contribuir para o aumento da arrecadação e sustentabilidade da Companhia.</t>
  </si>
  <si>
    <t>Calibração de bancada de aferição</t>
  </si>
  <si>
    <t>A contratação tem por finalidade garantir a manutenção corretiva e preventiva da bancada volumétrica semiautomática da Oficina de Hidrômetros da CAEMA, bem como a realização de inspeçõesmetrológicas e calibrações de instrumentos auxiliares. Considerando tratar-se de equipamento da marca Dígico, cujo suporte técnico é exclusivo do fabricante, resta caracterizada a inviabilidade decompetição, nos termos do Art. 115, inciso II, do Regulamento Interno de Licitações e Contratos da CAEMA (RILC/2024), e no Art. 30, inciso II, alínea “b”, da Lei nº 13.303/2016, por se tratar de serviçostécnicos especializados de natureza singular, executados por empresa de notória especialização.</t>
  </si>
  <si>
    <t>Serviços de Call Center</t>
  </si>
  <si>
    <t>Prestação de serviço de atendimento de solução digital de atendimento ativo e receptivo, humano e eletrônico, incluindo multicanal web (WhatsApp, Webchat, Voicebot, Telegram)  e mensageria (SMS e  E-mail) e aplicativos móveis  (nas versões IOS  e Android), na modalidade virtual e presencial, contemplando os  recursos necessários  (de infraestrutura física, humana e tecnológica), abrangendo as etapas de  planejamento, a  implantação, operacionalização, o desenvolvimento, a customização, integração, conexão de dados, manutenção, atualização, o gerenciamento da plataforma de operação e a gestão do atendimento, abrangendo a utilização de inteligência artificial e análise de dados.</t>
  </si>
  <si>
    <t>LEGENDA:</t>
  </si>
  <si>
    <r>
      <rPr>
        <b/>
        <sz val="11"/>
        <color theme="1"/>
        <rFont val="Calibri"/>
        <family val="2"/>
        <scheme val="minor"/>
      </rPr>
      <t>Objeto</t>
    </r>
    <r>
      <rPr>
        <sz val="11"/>
        <color theme="1"/>
        <rFont val="Calibri"/>
        <family val="2"/>
        <scheme val="minor"/>
      </rPr>
      <t>: Descrição precisa e clara do que será contratado.</t>
    </r>
  </si>
  <si>
    <r>
      <rPr>
        <b/>
        <sz val="11"/>
        <color theme="1"/>
        <rFont val="Calibri"/>
        <family val="2"/>
        <scheme val="minor"/>
      </rPr>
      <t>Justificativa:</t>
    </r>
    <r>
      <rPr>
        <sz val="11"/>
        <color theme="1"/>
        <rFont val="Calibri"/>
        <family val="2"/>
        <scheme val="minor"/>
      </rPr>
      <t xml:space="preserve"> Fundamentação técnica e administrativa que demonstra a necessidade, oportunidade e adequação de uma contratação.</t>
    </r>
  </si>
  <si>
    <r>
      <rPr>
        <b/>
        <sz val="11"/>
        <color theme="1"/>
        <rFont val="Calibri"/>
        <family val="2"/>
        <scheme val="minor"/>
      </rPr>
      <t>Previsão de inicio da nova contratação:</t>
    </r>
    <r>
      <rPr>
        <sz val="11"/>
        <color theme="1"/>
        <rFont val="Calibri"/>
        <family val="2"/>
        <scheme val="minor"/>
      </rPr>
      <t xml:space="preserve"> data estimada em que o novo contrato deverá começar a vigorar.</t>
    </r>
  </si>
  <si>
    <r>
      <rPr>
        <b/>
        <sz val="11"/>
        <color theme="1"/>
        <rFont val="Calibri"/>
        <family val="2"/>
        <scheme val="minor"/>
      </rPr>
      <t>Estimativa de valor</t>
    </r>
    <r>
      <rPr>
        <sz val="11"/>
        <color theme="1"/>
        <rFont val="Calibri"/>
        <family val="2"/>
        <scheme val="minor"/>
      </rPr>
      <t>: Previsão do custo total da contratação que a unidade pretende realizar.</t>
    </r>
  </si>
  <si>
    <r>
      <rPr>
        <b/>
        <sz val="11"/>
        <color theme="1"/>
        <rFont val="Calibri"/>
        <family val="2"/>
        <scheme val="minor"/>
      </rPr>
      <t>Grau de Prioridade:</t>
    </r>
    <r>
      <rPr>
        <sz val="11"/>
        <color theme="1"/>
        <rFont val="Calibri"/>
        <family val="2"/>
        <scheme val="minor"/>
      </rPr>
      <t xml:space="preserve"> Nível de urgência e importância da contratação.</t>
    </r>
  </si>
  <si>
    <t>DESCRIÇÃO DO GRAU DE PRIORIDADE</t>
  </si>
  <si>
    <t>Muito Baixo</t>
  </si>
  <si>
    <t>Compromete minimamente o atingimento do objetivo, para fins práticos não altera o alcance do objetivo/resultado.</t>
  </si>
  <si>
    <t>Baixo</t>
  </si>
  <si>
    <t>Compromete em alguma medida o alcance do objetivo, mas não impede o alcance da maior parte do objetivo do objetivo/resultado minimamente o atingimento do objetivo, para fins práticos não altera o alcance do objetivo/resultado.</t>
  </si>
  <si>
    <t>Compromente razovelmente o alcance do objetivo/resultado</t>
  </si>
  <si>
    <t>Compromete a maior parte do atingimento do objetivo/resultado</t>
  </si>
  <si>
    <t>Compromete totalmente ou quase totalmente o atingimento do objetivo/resultado</t>
  </si>
  <si>
    <r>
      <rPr>
        <b/>
        <sz val="11"/>
        <color theme="1"/>
        <rFont val="Calibri"/>
        <family val="2"/>
        <scheme val="minor"/>
      </rPr>
      <t xml:space="preserve"> Vinculação ou dependência de outro item:</t>
    </r>
    <r>
      <rPr>
        <sz val="11"/>
        <color theme="1"/>
        <rFont val="Calibri"/>
        <family val="2"/>
        <scheme val="minor"/>
      </rPr>
      <t xml:space="preserve"> indicação de que a contratação pretendida só faz sentido, ou só pode ser executada, se estiver atrelada a outra contratação, atividade ou projeto já existente ou também planejado.</t>
    </r>
  </si>
  <si>
    <t>PLANO ANUAL DE CONTRATAÇÕES 2026 - DIRETORIA DA PRESIDÊNCIA - SERVIÇOS CONTRATADOS</t>
  </si>
  <si>
    <t>CONTRATO</t>
  </si>
  <si>
    <t>EMPRESA</t>
  </si>
  <si>
    <t>CONTINUO</t>
  </si>
  <si>
    <t>ALTO</t>
  </si>
  <si>
    <t>093/2021</t>
  </si>
  <si>
    <t>CHAGAS E RODRIGUES SÁ ADVOCACIA</t>
  </si>
  <si>
    <t>003/2025</t>
  </si>
  <si>
    <t>THIAGO DIAZ ADVOGADOS ASSOCIADOS</t>
  </si>
  <si>
    <t>017/2022</t>
  </si>
  <si>
    <t>PIRES E MENEZES SOARES ADVOGADOS</t>
  </si>
  <si>
    <t xml:space="preserve">CUSTO TOTAL </t>
  </si>
  <si>
    <t>PLANO ANUAL DE CONTRATAÇÕES 2026 - DIRETORIA DE ENGENHARIA E MEIO AMBIENTE - CONTRATOS VIGENTES</t>
  </si>
  <si>
    <t>044/2025</t>
  </si>
  <si>
    <t>CAP - PROTENSÃO E CONSTRUÇÕES LTDA</t>
  </si>
  <si>
    <t>010/2025</t>
  </si>
  <si>
    <t>HIDREL ENGENHARIA LTDA</t>
  </si>
  <si>
    <t>070/2024</t>
  </si>
  <si>
    <t xml:space="preserve">BATALHA CONSTRUÇÃO LTDA </t>
  </si>
  <si>
    <t>042/2025</t>
  </si>
  <si>
    <t>TPF ENGENHARIA LTDA</t>
  </si>
  <si>
    <t>017/2025</t>
  </si>
  <si>
    <t>PALMARES CONSTRUÇÕES LTDA</t>
  </si>
  <si>
    <t>065/2025</t>
  </si>
  <si>
    <t>018/2023</t>
  </si>
  <si>
    <t>PESE PERFURAÇÕES DE POÇOS E SERVIÇOS LTDA</t>
  </si>
  <si>
    <t>040/2025</t>
  </si>
  <si>
    <t>081/2023</t>
  </si>
  <si>
    <t>QUALITECH ENGENHARIA LTDA</t>
  </si>
  <si>
    <t>049/2025</t>
  </si>
  <si>
    <t>018/2025</t>
  </si>
  <si>
    <t>010/2024</t>
  </si>
  <si>
    <t>045/2024</t>
  </si>
  <si>
    <t xml:space="preserve">MOBICON CONSTRUTORA LTDA </t>
  </si>
  <si>
    <t>024/2022</t>
  </si>
  <si>
    <t>MAPDATA TECNOLOGIA INFORMÁTICA E COMÉRCIO</t>
  </si>
  <si>
    <t>067/2025</t>
  </si>
  <si>
    <t>SÓ POÇOS CONSTRUÇÕES EIRELI</t>
  </si>
  <si>
    <t>061/2025</t>
  </si>
  <si>
    <t>066/2025</t>
  </si>
  <si>
    <t>064/2025</t>
  </si>
  <si>
    <t>009/2025</t>
  </si>
  <si>
    <t>005/2023</t>
  </si>
  <si>
    <t>MPA CONSTRUÇÕES E PARTICIPAÇÕES LTDA</t>
  </si>
  <si>
    <t>013/2024</t>
  </si>
  <si>
    <t>095/2022</t>
  </si>
  <si>
    <t>MOBICON CONSTRUTORA LTDA</t>
  </si>
  <si>
    <t>016/2024</t>
  </si>
  <si>
    <t xml:space="preserve">682 SOLUÇÕES EM TECNOLOGIA DA INFORMAÇÃO LTDA </t>
  </si>
  <si>
    <t>008/2024</t>
  </si>
  <si>
    <t>002/2025</t>
  </si>
  <si>
    <t>063/2024</t>
  </si>
  <si>
    <t xml:space="preserve">OMNIA CONSTRUÇÕES E COMÉRCIO LTDA </t>
  </si>
  <si>
    <t>064/2024</t>
  </si>
  <si>
    <t>007/2024</t>
  </si>
  <si>
    <t>SERVIÇOS</t>
  </si>
  <si>
    <t>AQUISIÇÕES</t>
  </si>
  <si>
    <t>CUSTO GERAL</t>
  </si>
  <si>
    <t>PLANO ANUAL DE CONTRATAÇÕES 2026</t>
  </si>
  <si>
    <t>PR - PRESIDÊNCIA</t>
  </si>
  <si>
    <t>DG - DIRETORIA DE GESTÃO ADM. FINANCEIRA</t>
  </si>
  <si>
    <t>DO - DIRETORIA DE OPERAÇÃO E MANUTENÇÃO</t>
  </si>
  <si>
    <t>DE - DIRETORIA DE ENG. E MEIO AMBIENTE</t>
  </si>
  <si>
    <t>DC - DIRETORIA DE COMERCIALIZAÇÃO</t>
  </si>
  <si>
    <t xml:space="preserve"> </t>
  </si>
  <si>
    <t>TOTAL PAC 2026</t>
  </si>
  <si>
    <t>ORÇAMENTO 2026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</si>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</sst>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7" formatCode="&quot;R$&quot;\ #,##0.00;\-&quot;R$&quot;\ #,##0.00"/>
    <numFmt numFmtId="44" formatCode="_-&quot;R$&quot;\ * #,##0.00_-;\-&quot;R$&quot;\ * #,##0.00_-;_-&quot;R$&quot;\ * &quot;-&quot;??_-;_-@_-"/>
    <numFmt numFmtId="168" formatCode="&quot;R$&quot;\ #,##0.00"/>
  </numFmts>
  <fonts count="13" x14ac:knownFonts="1">
    <font>
      <sz val="11"/>
      <color theme="1"/>
      <name val="Calibri"/>
      <family val="2"/>
      <scheme val="minor"/>
    </font>
    <font>
      <b/>
      <sz val="11"/>
      <color theme="1"/>
      <name val="Calibri"/>
      <family val="2"/>
      <scheme val="minor"/>
    </font>
    <font>
      <sz val="11"/>
      <color theme="1"/>
      <name val="Calibri"/>
    </font>
    <font>
      <sz val="24"/>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color theme="1"/>
      <name val="Calibri"/>
      <family val="2"/>
    </font>
    <font>
      <b/>
      <sz val="16"/>
      <color theme="5"/>
      <name val="Calibri"/>
      <family val="2"/>
      <scheme val="minor"/>
    </font>
    <font>
      <b/>
      <sz val="11"/>
      <color theme="5"/>
      <name val="Calibri"/>
      <family val="2"/>
      <scheme val="minor"/>
    </font>
    <font>
      <b/>
      <sz val="11"/>
      <color rgb="FFFFFFFF"/>
      <name val="Calibri"/>
      <family val="2"/>
    </font>
    <font>
      <sz val="10"/>
      <name val="Arial"/>
      <family val="2"/>
    </font>
  </fonts>
  <fills count="7">
    <fill>
      <patternFill patternType="none"/>
    </fill>
    <fill>
      <patternFill patternType="gray125"/>
    </fill>
    <fill>
      <patternFill patternType="solid">
        <fgColor theme="7" tint="0.59999389629810485"/>
        <bgColor indexed="64"/>
      </patternFill>
    </fill>
    <fill>
      <patternFill patternType="solid">
        <fgColor theme="7" tint="0.39997558519241921"/>
        <bgColor indexed="64"/>
      </patternFill>
    </fill>
    <fill>
      <patternFill patternType="solid">
        <fgColor theme="5"/>
        <bgColor theme="5"/>
      </patternFill>
    </fill>
    <fill>
      <patternFill patternType="solid">
        <fgColor rgb="FFED7D31"/>
        <bgColor rgb="FFED7D31"/>
      </patternFill>
    </fill>
    <fill>
      <patternFill patternType="solid">
        <fgColor theme="4"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hair">
        <color theme="5"/>
      </left>
      <right style="hair">
        <color theme="5"/>
      </right>
      <top style="thin">
        <color theme="5"/>
      </top>
      <bottom style="hair">
        <color theme="5"/>
      </bottom>
      <diagonal/>
    </border>
    <border>
      <left style="hair">
        <color theme="5" tint="-0.249977111117893"/>
      </left>
      <right style="hair">
        <color theme="5" tint="-0.249977111117893"/>
      </right>
      <top style="hair">
        <color theme="5" tint="-0.249977111117893"/>
      </top>
      <bottom style="hair">
        <color theme="5" tint="-0.249977111117893"/>
      </bottom>
      <diagonal/>
    </border>
    <border>
      <left/>
      <right style="hair">
        <color theme="0"/>
      </right>
      <top/>
      <bottom style="hair">
        <color theme="0"/>
      </bottom>
      <diagonal/>
    </border>
    <border>
      <left style="hair">
        <color theme="0"/>
      </left>
      <right style="hair">
        <color theme="0"/>
      </right>
      <top style="hair">
        <color theme="0"/>
      </top>
      <bottom/>
      <diagonal/>
    </border>
    <border>
      <left style="hair">
        <color theme="0"/>
      </left>
      <right/>
      <top style="hair">
        <color theme="0"/>
      </top>
      <bottom/>
      <diagonal/>
    </border>
    <border>
      <left/>
      <right style="hair">
        <color theme="0"/>
      </right>
      <top style="hair">
        <color theme="0"/>
      </top>
      <bottom/>
      <diagonal/>
    </border>
    <border>
      <left style="hair">
        <color indexed="64"/>
      </left>
      <right style="hair">
        <color theme="5" tint="-0.249977111117893"/>
      </right>
      <top style="hair">
        <color indexed="64"/>
      </top>
      <bottom style="hair">
        <color theme="5" tint="-0.249977111117893"/>
      </bottom>
      <diagonal/>
    </border>
    <border>
      <left style="hair">
        <color theme="5" tint="-0.249977111117893"/>
      </left>
      <right style="hair">
        <color theme="5" tint="-0.249977111117893"/>
      </right>
      <top style="hair">
        <color indexed="64"/>
      </top>
      <bottom style="hair">
        <color theme="5" tint="-0.249977111117893"/>
      </bottom>
      <diagonal/>
    </border>
    <border>
      <left/>
      <right style="hair">
        <color theme="5" tint="-0.249977111117893"/>
      </right>
      <top style="hair">
        <color indexed="64"/>
      </top>
      <bottom style="hair">
        <color theme="5" tint="-0.249977111117893"/>
      </bottom>
      <diagonal/>
    </border>
    <border>
      <left/>
      <right/>
      <top style="hair">
        <color indexed="64"/>
      </top>
      <bottom style="hair">
        <color theme="5" tint="-0.249977111117893"/>
      </bottom>
      <diagonal/>
    </border>
    <border>
      <left style="hair">
        <color indexed="64"/>
      </left>
      <right/>
      <top style="hair">
        <color theme="5" tint="-0.249977111117893"/>
      </top>
      <bottom style="hair">
        <color theme="5" tint="-0.249977111117893"/>
      </bottom>
      <diagonal/>
    </border>
    <border>
      <left style="hair">
        <color theme="5" tint="-0.249977111117893"/>
      </left>
      <right/>
      <top style="hair">
        <color theme="5" tint="-0.249977111117893"/>
      </top>
      <bottom style="hair">
        <color theme="5" tint="-0.249977111117893"/>
      </bottom>
      <diagonal/>
    </border>
    <border>
      <left/>
      <right/>
      <top style="hair">
        <color theme="5" tint="-0.249977111117893"/>
      </top>
      <bottom style="hair">
        <color theme="5" tint="-0.249977111117893"/>
      </bottom>
      <diagonal/>
    </border>
    <border>
      <left/>
      <right style="hair">
        <color theme="5" tint="-0.249977111117893"/>
      </right>
      <top style="hair">
        <color theme="5" tint="-0.249977111117893"/>
      </top>
      <bottom style="hair">
        <color theme="5" tint="-0.249977111117893"/>
      </bottom>
      <diagonal/>
    </border>
    <border>
      <left style="hair">
        <color indexed="64"/>
      </left>
      <right style="hair">
        <color theme="5" tint="-0.249977111117893"/>
      </right>
      <top/>
      <bottom style="hair">
        <color theme="5" tint="-0.249977111117893"/>
      </bottom>
      <diagonal/>
    </border>
    <border>
      <left style="hair">
        <color theme="5" tint="-0.249977111117893"/>
      </left>
      <right style="hair">
        <color theme="5" tint="-0.249977111117893"/>
      </right>
      <top/>
      <bottom/>
      <diagonal/>
    </border>
    <border>
      <left style="hair">
        <color theme="5" tint="-0.249977111117893"/>
      </left>
      <right/>
      <top/>
      <bottom/>
      <diagonal/>
    </border>
    <border>
      <left/>
      <right style="hair">
        <color theme="5" tint="-0.249977111117893"/>
      </right>
      <top/>
      <bottom/>
      <diagonal/>
    </border>
    <border>
      <left style="hair">
        <color theme="5" tint="-0.249977111117893"/>
      </left>
      <right style="hair">
        <color theme="5" tint="-0.249977111117893"/>
      </right>
      <top/>
      <bottom style="hair">
        <color theme="5" tint="-0.249977111117893"/>
      </bottom>
      <diagonal/>
    </border>
    <border>
      <left style="hair">
        <color theme="5" tint="-0.249977111117893"/>
      </left>
      <right/>
      <top/>
      <bottom style="hair">
        <color theme="5" tint="-0.249977111117893"/>
      </bottom>
      <diagonal/>
    </border>
    <border>
      <left/>
      <right style="hair">
        <color theme="5" tint="-0.249977111117893"/>
      </right>
      <top/>
      <bottom style="hair">
        <color theme="5" tint="-0.249977111117893"/>
      </bottom>
      <diagonal/>
    </border>
    <border>
      <left/>
      <right/>
      <top/>
      <bottom style="hair">
        <color theme="5" tint="-0.249977111117893"/>
      </bottom>
      <diagonal/>
    </border>
    <border>
      <left/>
      <right/>
      <top/>
      <bottom style="medium">
        <color theme="5"/>
      </bottom>
      <diagonal/>
    </border>
    <border>
      <left style="thin">
        <color theme="5"/>
      </left>
      <right/>
      <top/>
      <bottom style="medium">
        <color theme="5"/>
      </bottom>
      <diagonal/>
    </border>
    <border>
      <left style="thin">
        <color rgb="FFED7D31"/>
      </left>
      <right/>
      <top style="thin">
        <color rgb="FFED7D31"/>
      </top>
      <bottom/>
      <diagonal/>
    </border>
    <border>
      <left/>
      <right/>
      <top style="thin">
        <color rgb="FFED7D31"/>
      </top>
      <bottom/>
      <diagonal/>
    </border>
    <border>
      <left style="hair">
        <color rgb="FFFFFFFF"/>
      </left>
      <right style="hair">
        <color rgb="FFFFFFFF"/>
      </right>
      <top style="thin">
        <color rgb="FFED7D31"/>
      </top>
      <bottom style="hair">
        <color rgb="FFFFFFFF"/>
      </bottom>
      <diagonal/>
    </border>
    <border>
      <left/>
      <right/>
      <top/>
      <bottom style="medium">
        <color indexed="64"/>
      </bottom>
      <diagonal/>
    </border>
    <border>
      <left style="medium">
        <color indexed="64"/>
      </left>
      <right/>
      <top/>
      <bottom style="medium">
        <color indexed="64"/>
      </bottom>
      <diagonal/>
    </border>
  </borders>
  <cellStyleXfs count="2">
    <xf numFmtId="0" fontId="0" fillId="0" borderId="0"/>
    <xf numFmtId="44" fontId="5" fillId="0" borderId="0" applyFont="0" applyFill="0" applyBorder="0" applyAlignment="0" applyProtection="0"/>
  </cellStyleXfs>
  <cellXfs count="94">
    <xf numFmtId="0" fontId="0" fillId="0" borderId="0" xfId="0"/>
    <xf numFmtId="0" fontId="0" fillId="0" borderId="0" xfId="0" applyFont="1"/>
    <xf numFmtId="0" fontId="8" fillId="0" borderId="0" xfId="0" applyFont="1" applyFill="1" applyBorder="1" applyAlignment="1">
      <alignment horizontal="center" vertical="center"/>
    </xf>
    <xf numFmtId="1" fontId="8" fillId="0" borderId="0" xfId="0" applyNumberFormat="1" applyFont="1" applyFill="1" applyBorder="1" applyAlignment="1">
      <alignment horizontal="center" vertical="center" wrapText="1"/>
    </xf>
    <xf numFmtId="1" fontId="8" fillId="0" borderId="0" xfId="0" applyNumberFormat="1" applyFont="1" applyFill="1" applyBorder="1" applyAlignment="1">
      <alignment horizontal="center" vertical="center"/>
    </xf>
    <xf numFmtId="44" fontId="8" fillId="0" borderId="0" xfId="0" applyNumberFormat="1" applyFont="1" applyFill="1" applyBorder="1" applyAlignment="1">
      <alignment horizontal="center" vertical="center"/>
    </xf>
    <xf numFmtId="0" fontId="8" fillId="0" borderId="0" xfId="0" applyFont="1" applyFill="1" applyBorder="1" applyAlignment="1"/>
    <xf numFmtId="0" fontId="2" fillId="0" borderId="0" xfId="0" applyFont="1" applyFill="1" applyBorder="1" applyAlignment="1">
      <alignment horizontal="center" vertical="center"/>
    </xf>
    <xf numFmtId="1" fontId="2" fillId="0" borderId="0" xfId="0" applyNumberFormat="1" applyFont="1" applyFill="1" applyBorder="1" applyAlignment="1">
      <alignment horizontal="center" vertical="center" wrapText="1"/>
    </xf>
    <xf numFmtId="1" fontId="2" fillId="0" borderId="0" xfId="0" applyNumberFormat="1" applyFont="1" applyFill="1" applyBorder="1" applyAlignment="1">
      <alignment horizontal="center" vertical="center"/>
    </xf>
    <xf numFmtId="44" fontId="2" fillId="0" borderId="0" xfId="0" applyNumberFormat="1" applyFont="1" applyFill="1" applyBorder="1" applyAlignment="1">
      <alignment horizontal="center" vertical="center"/>
    </xf>
    <xf numFmtId="0" fontId="0" fillId="0" borderId="3" xfId="0"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0" fillId="0" borderId="8" xfId="0" applyBorder="1" applyAlignment="1">
      <alignment horizontal="center" vertical="center"/>
    </xf>
    <xf numFmtId="0" fontId="0" fillId="0" borderId="3" xfId="0" applyBorder="1" applyAlignment="1">
      <alignment horizontal="center" vertical="center"/>
    </xf>
    <xf numFmtId="0" fontId="0" fillId="0" borderId="2" xfId="0" applyFont="1" applyBorder="1" applyAlignment="1">
      <alignment horizontal="center" vertical="center" wrapText="1"/>
    </xf>
    <xf numFmtId="0" fontId="0" fillId="0" borderId="0" xfId="0" applyAlignment="1">
      <alignment horizontal="center" vertical="center" wrapText="1"/>
    </xf>
    <xf numFmtId="44" fontId="0" fillId="0" borderId="9" xfId="1" applyFont="1" applyBorder="1" applyAlignment="1">
      <alignment horizontal="center" vertical="center"/>
    </xf>
    <xf numFmtId="44" fontId="0" fillId="0" borderId="10" xfId="1" applyFont="1" applyBorder="1" applyAlignment="1">
      <alignment horizontal="center" vertical="center"/>
    </xf>
    <xf numFmtId="44" fontId="0" fillId="0" borderId="11" xfId="1"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17" fontId="0" fillId="0" borderId="3" xfId="1" applyNumberFormat="1" applyFont="1" applyBorder="1" applyAlignment="1">
      <alignment horizontal="center" vertical="center"/>
    </xf>
    <xf numFmtId="44" fontId="0" fillId="0" borderId="3" xfId="1" applyFont="1" applyBorder="1" applyAlignment="1">
      <alignment horizontal="center" vertical="center"/>
    </xf>
    <xf numFmtId="44" fontId="0" fillId="0" borderId="14" xfId="1" applyFont="1" applyBorder="1" applyAlignment="1">
      <alignment horizontal="center" vertical="center"/>
    </xf>
    <xf numFmtId="44" fontId="0" fillId="0" borderId="15" xfId="1"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wrapText="1"/>
    </xf>
    <xf numFmtId="17" fontId="0" fillId="0" borderId="17" xfId="1" applyNumberFormat="1" applyFont="1" applyBorder="1" applyAlignment="1">
      <alignment horizontal="center" vertical="center"/>
    </xf>
    <xf numFmtId="44" fontId="0" fillId="0" borderId="19" xfId="1" applyFont="1" applyBorder="1" applyAlignment="1">
      <alignment horizontal="center" vertical="center"/>
    </xf>
    <xf numFmtId="44" fontId="0" fillId="0" borderId="0" xfId="1" applyFont="1" applyBorder="1" applyAlignment="1">
      <alignment horizontal="center" vertical="center"/>
    </xf>
    <xf numFmtId="0" fontId="0" fillId="0" borderId="13" xfId="0"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44" fontId="0" fillId="0" borderId="22" xfId="1" applyFont="1" applyBorder="1" applyAlignment="1">
      <alignment horizontal="center" vertical="center"/>
    </xf>
    <xf numFmtId="44" fontId="0" fillId="0" borderId="23" xfId="1" applyFont="1" applyBorder="1" applyAlignment="1">
      <alignment horizontal="center" vertical="center"/>
    </xf>
    <xf numFmtId="44" fontId="0" fillId="0" borderId="17" xfId="1" applyFont="1" applyBorder="1" applyAlignment="1">
      <alignment horizontal="center" vertical="center"/>
    </xf>
    <xf numFmtId="44" fontId="0" fillId="0" borderId="17" xfId="0" applyNumberFormat="1" applyBorder="1" applyAlignment="1">
      <alignment horizontal="center" vertical="center"/>
    </xf>
    <xf numFmtId="0" fontId="0" fillId="0" borderId="3" xfId="0" applyBorder="1"/>
    <xf numFmtId="0" fontId="0" fillId="0" borderId="15" xfId="0" applyBorder="1"/>
    <xf numFmtId="0" fontId="0" fillId="0" borderId="14" xfId="0" applyBorder="1" applyAlignment="1">
      <alignment horizontal="center"/>
    </xf>
    <xf numFmtId="44" fontId="0" fillId="0" borderId="14" xfId="1" applyFont="1" applyBorder="1" applyAlignment="1">
      <alignment horizontal="center"/>
    </xf>
    <xf numFmtId="0" fontId="1" fillId="0" borderId="14" xfId="0" applyFont="1" applyBorder="1" applyAlignment="1">
      <alignment horizontal="center"/>
    </xf>
    <xf numFmtId="44" fontId="4" fillId="0" borderId="14" xfId="0" applyNumberFormat="1" applyFont="1" applyBorder="1" applyAlignment="1">
      <alignment horizontal="center"/>
    </xf>
    <xf numFmtId="0" fontId="0" fillId="0" borderId="15" xfId="0" applyBorder="1" applyAlignment="1">
      <alignment horizontal="center"/>
    </xf>
    <xf numFmtId="44" fontId="0" fillId="0" borderId="0" xfId="1" applyFont="1" applyAlignment="1">
      <alignment horizontal="center"/>
    </xf>
    <xf numFmtId="0" fontId="0" fillId="0" borderId="0" xfId="0" applyAlignment="1">
      <alignment horizontal="center"/>
    </xf>
    <xf numFmtId="44" fontId="7" fillId="0" borderId="0" xfId="0" applyNumberFormat="1" applyFont="1"/>
    <xf numFmtId="0" fontId="0" fillId="0" borderId="0" xfId="0" applyAlignment="1">
      <alignment horizontal="left" wrapText="1"/>
    </xf>
    <xf numFmtId="0" fontId="0" fillId="0" borderId="0" xfId="0" applyAlignment="1">
      <alignment horizontal="center" vertical="center"/>
    </xf>
    <xf numFmtId="0" fontId="11" fillId="5" borderId="26"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0" xfId="0" applyFont="1" applyFill="1" applyBorder="1" applyAlignment="1">
      <alignment horizontal="center" vertical="center" wrapText="1"/>
    </xf>
    <xf numFmtId="0" fontId="0" fillId="0" borderId="0" xfId="0" applyAlignment="1">
      <alignment horizontal="center" wrapText="1"/>
    </xf>
    <xf numFmtId="14" fontId="0" fillId="0" borderId="0" xfId="0" applyNumberFormat="1" applyFill="1" applyAlignment="1">
      <alignment horizontal="center" vertical="center"/>
    </xf>
    <xf numFmtId="44" fontId="0" fillId="0" borderId="0" xfId="0" applyNumberFormat="1" applyAlignment="1">
      <alignment horizontal="center" vertical="center"/>
    </xf>
    <xf numFmtId="0" fontId="0" fillId="0" borderId="0" xfId="0" applyFill="1" applyAlignment="1">
      <alignment horizontal="center" vertical="center"/>
    </xf>
    <xf numFmtId="0" fontId="1" fillId="3" borderId="0" xfId="0" applyFont="1" applyFill="1" applyAlignment="1">
      <alignment horizontal="center"/>
    </xf>
    <xf numFmtId="44" fontId="1" fillId="3" borderId="0" xfId="0" applyNumberFormat="1" applyFont="1" applyFill="1" applyAlignment="1">
      <alignment horizontal="center"/>
    </xf>
    <xf numFmtId="14" fontId="0" fillId="0" borderId="0" xfId="0" applyNumberFormat="1" applyFill="1" applyAlignment="1">
      <alignment horizontal="center" vertical="center" wrapText="1"/>
    </xf>
    <xf numFmtId="44" fontId="0" fillId="0" borderId="0" xfId="0" applyNumberFormat="1" applyAlignment="1">
      <alignment vertical="center" wrapText="1"/>
    </xf>
    <xf numFmtId="0" fontId="0" fillId="0" borderId="0" xfId="0" applyFill="1" applyAlignment="1">
      <alignment horizontal="center" vertical="center" wrapText="1"/>
    </xf>
    <xf numFmtId="0" fontId="0" fillId="0" borderId="0" xfId="0" applyFont="1" applyAlignment="1">
      <alignment horizontal="center" vertical="center"/>
    </xf>
    <xf numFmtId="0" fontId="1" fillId="2" borderId="0" xfId="0" applyFont="1" applyFill="1" applyAlignment="1">
      <alignment horizontal="center"/>
    </xf>
    <xf numFmtId="7" fontId="1" fillId="2" borderId="0" xfId="0" applyNumberFormat="1" applyFont="1" applyFill="1" applyAlignment="1">
      <alignment horizontal="center"/>
    </xf>
    <xf numFmtId="0" fontId="4" fillId="6" borderId="1" xfId="0" applyFont="1" applyFill="1" applyBorder="1" applyAlignment="1">
      <alignment horizontal="center" vertical="center"/>
    </xf>
    <xf numFmtId="0" fontId="0" fillId="0" borderId="1" xfId="0" applyBorder="1"/>
    <xf numFmtId="168" fontId="1" fillId="3" borderId="29" xfId="0" applyNumberFormat="1" applyFont="1" applyFill="1" applyBorder="1" applyAlignment="1">
      <alignment horizontal="center" vertical="center"/>
    </xf>
    <xf numFmtId="168" fontId="0" fillId="0" borderId="1" xfId="1" applyNumberFormat="1" applyFont="1" applyBorder="1" applyAlignment="1">
      <alignment horizontal="center"/>
    </xf>
    <xf numFmtId="168" fontId="0" fillId="0" borderId="1" xfId="1" applyNumberFormat="1" applyFont="1" applyFill="1" applyBorder="1" applyAlignment="1">
      <alignment horizontal="center"/>
    </xf>
    <xf numFmtId="168" fontId="1" fillId="3" borderId="1" xfId="0" applyNumberFormat="1" applyFont="1" applyFill="1" applyBorder="1" applyAlignment="1">
      <alignment horizontal="center" vertical="center"/>
    </xf>
    <xf numFmtId="0" fontId="1" fillId="3" borderId="30" xfId="0" applyFont="1" applyFill="1" applyBorder="1" applyAlignment="1">
      <alignment vertical="center"/>
    </xf>
    <xf numFmtId="0" fontId="1" fillId="3" borderId="29" xfId="0" applyFont="1" applyFill="1" applyBorder="1" applyAlignment="1">
      <alignment vertical="center"/>
    </xf>
    <xf numFmtId="168" fontId="0" fillId="0" borderId="1" xfId="0" applyNumberFormat="1" applyBorder="1" applyAlignment="1">
      <alignment horizontal="center"/>
    </xf>
    <xf numFmtId="0" fontId="0" fillId="0" borderId="1" xfId="0" applyFill="1" applyBorder="1"/>
    <xf numFmtId="168" fontId="0" fillId="0" borderId="1" xfId="0" applyNumberFormat="1" applyFill="1" applyBorder="1" applyAlignment="1">
      <alignment horizontal="center"/>
    </xf>
    <xf numFmtId="0" fontId="4" fillId="6" borderId="1"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center"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9" fillId="0" borderId="0" xfId="0" applyFont="1" applyAlignment="1">
      <alignment horizontal="left" vertical="center" wrapText="1"/>
    </xf>
    <xf numFmtId="0" fontId="0" fillId="0" borderId="0" xfId="0" applyAlignment="1">
      <alignment horizontal="left" wrapText="1"/>
    </xf>
    <xf numFmtId="0" fontId="0" fillId="0" borderId="0" xfId="0" applyAlignment="1">
      <alignment horizontal="left" vertical="center" wrapText="1"/>
    </xf>
    <xf numFmtId="0" fontId="3" fillId="3" borderId="0" xfId="0" applyFont="1" applyFill="1" applyAlignment="1">
      <alignment horizontal="center"/>
    </xf>
    <xf numFmtId="0" fontId="3" fillId="2" borderId="0" xfId="0" applyFont="1" applyFill="1" applyAlignment="1">
      <alignment horizontal="center"/>
    </xf>
  </cellXfs>
  <cellStyles count="2">
    <cellStyle name="Moeda" xfId="1" builtinId="4"/>
    <cellStyle name="Normal" xfId="0" builtinId="0"/>
  </cellStyles>
  <dxfs count="31">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style="hair">
          <color theme="0"/>
        </left>
        <right/>
        <top style="hair">
          <color theme="0"/>
        </top>
        <bottom/>
        <vertical/>
        <horizontal/>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style="hair">
          <color theme="0"/>
        </left>
        <right style="hair">
          <color theme="0"/>
        </right>
        <top style="hair">
          <color theme="0"/>
        </top>
        <bottom/>
        <vertical/>
        <horizontal/>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style="hair">
          <color theme="0"/>
        </left>
        <right style="hair">
          <color theme="0"/>
        </right>
        <top style="hair">
          <color theme="0"/>
        </top>
        <bottom/>
        <vertical/>
        <horizontal/>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style="hair">
          <color theme="0"/>
        </left>
        <right style="hair">
          <color theme="0"/>
        </right>
        <top style="hair">
          <color theme="0"/>
        </top>
        <bottom/>
        <vertical/>
        <horizontal/>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style="hair">
          <color theme="0"/>
        </left>
        <right style="hair">
          <color theme="0"/>
        </right>
        <top style="hair">
          <color theme="0"/>
        </top>
        <bottom/>
        <vertical/>
        <horizontal/>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style="hair">
          <color theme="0"/>
        </left>
        <right style="hair">
          <color theme="0"/>
        </right>
        <top style="hair">
          <color theme="0"/>
        </top>
        <bottom/>
        <vertical/>
        <horizontal/>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style="hair">
          <color theme="0"/>
        </left>
        <right style="hair">
          <color theme="0"/>
        </right>
        <top style="hair">
          <color theme="0"/>
        </top>
        <bottom/>
        <vertical/>
        <horizontal/>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style="hair">
          <color theme="0"/>
        </left>
        <right style="hair">
          <color theme="0"/>
        </right>
        <top style="hair">
          <color theme="0"/>
        </top>
        <bottom/>
        <vertical/>
        <horizontal/>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style="hair">
          <color theme="0"/>
        </left>
        <right style="hair">
          <color theme="0"/>
        </right>
        <top style="hair">
          <color theme="0"/>
        </top>
        <bottom/>
        <vertical/>
        <horizontal/>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left/>
        <right style="hair">
          <color theme="0"/>
        </right>
        <top style="hair">
          <color theme="0"/>
        </top>
        <bottom/>
        <vertical/>
        <horizontal/>
      </border>
    </dxf>
    <dxf>
      <border outline="0">
        <top style="hair">
          <color theme="0"/>
        </top>
      </border>
    </dxf>
    <dxf>
      <border outline="0">
        <left style="hair">
          <color theme="0"/>
        </left>
        <right style="hair">
          <color theme="0"/>
        </right>
        <top style="hair">
          <color theme="0"/>
        </top>
        <bottom style="hair">
          <color theme="0"/>
        </bottom>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dxf>
    <dxf>
      <border outline="0">
        <bottom style="hair">
          <color theme="0"/>
        </bottom>
      </border>
    </dxf>
    <dxf>
      <font>
        <b/>
        <i val="0"/>
        <strike val="0"/>
        <condense val="0"/>
        <extend val="0"/>
        <outline val="0"/>
        <shadow val="0"/>
        <u val="none"/>
        <vertAlign val="baseline"/>
        <sz val="11"/>
        <color theme="0"/>
        <name val="Calibri"/>
        <scheme val="minor"/>
      </font>
      <fill>
        <patternFill patternType="solid">
          <fgColor theme="5"/>
          <bgColor theme="5"/>
        </patternFill>
      </fill>
      <alignment horizontal="center" vertical="center" textRotation="0" wrapText="1" indent="0" justifyLastLine="0" shrinkToFit="0" readingOrder="0"/>
      <border diagonalUp="0" diagonalDown="0" outline="0">
        <left style="hair">
          <color theme="0"/>
        </left>
        <right style="hair">
          <color theme="0"/>
        </right>
        <top/>
        <bottom/>
      </border>
    </dxf>
    <dxf>
      <font>
        <b val="0"/>
        <i val="0"/>
        <strike val="0"/>
        <condense val="0"/>
        <extend val="0"/>
        <outline val="0"/>
        <shadow val="0"/>
        <u val="none"/>
        <vertAlign val="baseline"/>
        <sz val="11"/>
        <color theme="1"/>
        <name val="Calibri"/>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numFmt numFmtId="34" formatCode="_-&quot;R$&quot;\ * #,##0.00_-;\-&quot;R$&quot;\ * #,##0.00_-;_-&quot;R$&quot;\ *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2</xdr:row>
      <xdr:rowOff>47625</xdr:rowOff>
    </xdr:from>
    <xdr:to>
      <xdr:col>1</xdr:col>
      <xdr:colOff>847725</xdr:colOff>
      <xdr:row>2</xdr:row>
      <xdr:rowOff>374708</xdr:rowOff>
    </xdr:to>
    <xdr:pic>
      <xdr:nvPicPr>
        <xdr:cNvPr id="6" name="Imagem 5" descr="C:\Users\Estagiario-compras\Desktop\debora_estagiaria\imagem_caema.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5" y="438150"/>
          <a:ext cx="723900" cy="327083"/>
        </a:xfrm>
        <a:prstGeom prst="rect">
          <a:avLst/>
        </a:prstGeom>
        <a:noFill/>
        <a:effectLst>
          <a:outerShdw blurRad="50800" dist="50800" dir="5400000" algn="ctr" rotWithShape="0">
            <a:srgbClr val="000000">
              <a:alpha val="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2400300</xdr:colOff>
      <xdr:row>2</xdr:row>
      <xdr:rowOff>28575</xdr:rowOff>
    </xdr:from>
    <xdr:to>
      <xdr:col>5</xdr:col>
      <xdr:colOff>3124200</xdr:colOff>
      <xdr:row>2</xdr:row>
      <xdr:rowOff>355658</xdr:rowOff>
    </xdr:to>
    <xdr:pic>
      <xdr:nvPicPr>
        <xdr:cNvPr id="7" name="Imagem 6" descr="C:\Users\Estagiario-compras\Desktop\debora_estagiaria\imagem_caema.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3900" y="419100"/>
          <a:ext cx="723900" cy="327083"/>
        </a:xfrm>
        <a:prstGeom prst="rect">
          <a:avLst/>
        </a:prstGeom>
        <a:noFill/>
        <a:effectLst>
          <a:outerShdw blurRad="50800" dist="50800" dir="5400000" algn="ctr" rotWithShape="0">
            <a:srgbClr val="000000">
              <a:alpha val="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epe45407/Downloads/CONTROLE%20DE%20CONTRATOS%20GCONG%20(1)%2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epe45407/Downloads/CONTROLE%20DE%20CONTRATOS%20GCONG%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aema45857/Downloads/CONTROLE%20DE%20CONTRATOS%20GCONG%20(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RAL"/>
      <sheetName val="DETALHADA"/>
    </sheetNames>
    <sheetDataSet>
      <sheetData sheetId="0" refreshError="1"/>
      <sheetData sheetId="1" refreshError="1">
        <row r="1">
          <cell r="A1" t="str">
            <v>CT</v>
          </cell>
          <cell r="B1" t="str">
            <v>VALOR</v>
          </cell>
          <cell r="C1" t="str">
            <v>DIRETORIA</v>
          </cell>
          <cell r="D1" t="str">
            <v>CONTRATADA</v>
          </cell>
          <cell r="E1" t="str">
            <v>OBJETO</v>
          </cell>
          <cell r="F1" t="str">
            <v>MODALIDADE</v>
          </cell>
          <cell r="G1" t="str">
            <v>CNPJ/CPF</v>
          </cell>
          <cell r="H1" t="str">
            <v>PORTARIA</v>
          </cell>
          <cell r="I1" t="str">
            <v>GESTOR</v>
          </cell>
          <cell r="J1" t="str">
            <v>FISCAL</v>
          </cell>
          <cell r="K1" t="str">
            <v>INÍCIO</v>
          </cell>
          <cell r="L1" t="str">
            <v>DATA VIGÊNCIA</v>
          </cell>
          <cell r="M1" t="str">
            <v>DIAS PARA VENCER</v>
          </cell>
          <cell r="N1" t="str">
            <v>09/06/2025</v>
          </cell>
        </row>
        <row r="2">
          <cell r="A2" t="str">
            <v>074/2024</v>
          </cell>
          <cell r="B2">
            <v>29400</v>
          </cell>
          <cell r="C2" t="str">
            <v>DC</v>
          </cell>
          <cell r="D2" t="str">
            <v xml:space="preserve">EDIFICARE EMPRESA JUNIOR </v>
          </cell>
          <cell r="E2" t="str">
            <v xml:space="preserve">Contratação de uma empresa especializada para realizar a obtenção de arquivos vetoriais de pontos, linhas e polígonos através do Sistema de Informação Geográfica (QGIS) é fundamental para o aprimoramento e modernização da gestão de quadras, lotes, rotas de leitura e georreferenciamento de clientes.
</v>
          </cell>
          <cell r="F2" t="str">
            <v>DISPENSA DE LICITAÇÃO
N° 033/2024</v>
          </cell>
          <cell r="G2" t="str">
            <v>26.000.397/0001-05</v>
          </cell>
          <cell r="H2" t="str">
            <v>Portaria 074/2024</v>
          </cell>
          <cell r="I2" t="str">
            <v>Ana Paula Frazão Campos Silva</v>
          </cell>
          <cell r="J2" t="str">
            <v>Gleison Andrade Campos</v>
          </cell>
          <cell r="K2">
            <v>45638</v>
          </cell>
          <cell r="L2">
            <v>46003</v>
          </cell>
          <cell r="M2">
            <v>17</v>
          </cell>
        </row>
        <row r="3">
          <cell r="A3" t="str">
            <v>010/2024</v>
          </cell>
          <cell r="B3">
            <v>1241882.77</v>
          </cell>
          <cell r="C3" t="str">
            <v>DE</v>
          </cell>
          <cell r="D3" t="str">
            <v>PALMARES CONSTRUÇÕES LTDA</v>
          </cell>
          <cell r="E3" t="str">
            <v xml:space="preserve">Execução dos serviços de perfuração de 01 (um) poço tubular profundo, no município de Chapadinha/MA: (LOTE 2) 8`` X 150 M. </v>
          </cell>
          <cell r="F3" t="str">
            <v>PREGÃO ELETRÔNICO 024/2023 ARP 020/2023 - CAEMA</v>
          </cell>
          <cell r="G3" t="str">
            <v>11302593000167</v>
          </cell>
          <cell r="K3">
            <v>45735</v>
          </cell>
          <cell r="L3">
            <v>46100</v>
          </cell>
          <cell r="M3">
            <v>114</v>
          </cell>
          <cell r="R3"/>
        </row>
        <row r="4">
          <cell r="A4" t="str">
            <v>023/2024</v>
          </cell>
          <cell r="B4">
            <v>202500</v>
          </cell>
          <cell r="C4" t="str">
            <v>DG</v>
          </cell>
          <cell r="D4" t="str">
            <v>ADALGISA CRAVO TEIXEIRA LAGIOIA TREINAMENTO</v>
          </cell>
          <cell r="E4" t="str">
            <v xml:space="preserve">Contratação de empresa especializada para a execução de consultoria continuada na área de contabilidade, gestão de sistemas e gestão patrimonial, </v>
          </cell>
          <cell r="F4" t="str">
            <v>INEXIGIBILIDADE DE LICITAÇÃO  N° 002/2024</v>
          </cell>
          <cell r="G4" t="str">
            <v>36.125.431/0001-21</v>
          </cell>
          <cell r="K4">
            <v>45835</v>
          </cell>
          <cell r="L4">
            <v>46200</v>
          </cell>
          <cell r="M4">
            <v>214</v>
          </cell>
        </row>
        <row r="5">
          <cell r="A5" t="str">
            <v>040/2022</v>
          </cell>
          <cell r="B5" t="str">
            <v>9.514.15</v>
          </cell>
          <cell r="C5" t="str">
            <v>DG-LOCAÇÃO</v>
          </cell>
          <cell r="D5" t="str">
            <v>FRANCISCO DE SOUSA (SANTA LUZIA DO PARUA)</v>
          </cell>
          <cell r="E5" t="str">
            <v>Locação do imóvel do Sr. Francisco Sousa no Município de Santa Luzia do Parauá</v>
          </cell>
          <cell r="F5" t="str">
            <v>DISPENSA DE LICITAÇÃO  N° 1</v>
          </cell>
          <cell r="G5" t="str">
            <v>861.699.203-00</v>
          </cell>
          <cell r="K5">
            <v>45841</v>
          </cell>
          <cell r="L5">
            <v>46206</v>
          </cell>
          <cell r="M5">
            <v>220</v>
          </cell>
        </row>
        <row r="6">
          <cell r="A6" t="str">
            <v>047/2021</v>
          </cell>
          <cell r="B6">
            <v>294791</v>
          </cell>
          <cell r="C6" t="str">
            <v>DG</v>
          </cell>
          <cell r="D6" t="str">
            <v>CSA CONSULTORIA E SISTEMAS ABERTOS LTDA</v>
          </cell>
          <cell r="E6" t="str">
            <v>Contratação de empresa especializada para a execução de serviços de atualização, manutenção e assistência técnica do Sistema Radar Empresarial módulos Contábil, Conciliação,Compras,Estoque,Financeiro,Adiantamento de Viagems,MT Patrimonial MT Fiscal Arquivos Magneticos  Radar IRPJ Radar Orçamento e Radar Integrador</v>
          </cell>
          <cell r="F6" t="str">
            <v>Inexigibilidade de Licitação</v>
          </cell>
          <cell r="G6" t="str">
            <v>41.490.848/0001-23</v>
          </cell>
          <cell r="K6">
            <v>45850</v>
          </cell>
          <cell r="L6">
            <v>46215</v>
          </cell>
          <cell r="M6">
            <v>229</v>
          </cell>
        </row>
        <row r="7">
          <cell r="A7" t="str">
            <v>026/2021</v>
          </cell>
          <cell r="B7">
            <v>2869803.14</v>
          </cell>
          <cell r="C7" t="str">
            <v>DO</v>
          </cell>
          <cell r="D7" t="str">
            <v>PONTO FORTE CONSTRUÇÕES LTDA</v>
          </cell>
          <cell r="E7" t="str">
            <v>Prestação de serviços comuns de engenharia de manutenção de redes e ramais prediais,pequenas ampliações de redes,instalação sibstituição de ramais nos Sistemas de Abastecimento de Água do interior - Gerência de Negócios de Itapecuru Mirim /MA- Lote 02</v>
          </cell>
          <cell r="F7" t="str">
            <v>Pregão Eletrônico nº 051/2020</v>
          </cell>
          <cell r="G7" t="str">
            <v>01.958.324/0001-08</v>
          </cell>
          <cell r="K7">
            <v>45852</v>
          </cell>
          <cell r="L7">
            <v>46217</v>
          </cell>
          <cell r="M7">
            <v>231</v>
          </cell>
        </row>
        <row r="8">
          <cell r="A8" t="str">
            <v>025/2021</v>
          </cell>
          <cell r="B8">
            <v>4044811.29</v>
          </cell>
          <cell r="C8" t="str">
            <v>DO</v>
          </cell>
          <cell r="D8" t="str">
            <v>PONTO FORTE CONSTRUÇÕES LTDA</v>
          </cell>
          <cell r="E8" t="str">
            <v>Prestação de serviços comuns de engenharia demanutenção de redes e ramais prediais,pequenas ampliações de redes,instalação sibstituição de ramais nos Sistemas de Abastecimento de Água do interior - Gerência de Negócios de Chapadinha /MA- Lote 02</v>
          </cell>
          <cell r="F8" t="str">
            <v>Pregão Eletrônico nº 051/2020</v>
          </cell>
          <cell r="G8" t="str">
            <v>01.958.324/0001-08</v>
          </cell>
          <cell r="K8">
            <v>45856</v>
          </cell>
          <cell r="L8">
            <v>46221</v>
          </cell>
          <cell r="M8">
            <v>235</v>
          </cell>
        </row>
        <row r="9">
          <cell r="A9" t="str">
            <v>027/2021</v>
          </cell>
          <cell r="B9">
            <v>2852189.95</v>
          </cell>
          <cell r="C9" t="str">
            <v>DO</v>
          </cell>
          <cell r="D9" t="str">
            <v>PONTO FORTE CONSTRUÇÕES LTDA</v>
          </cell>
          <cell r="E9" t="str">
            <v>Prestação de serviços comuns de engenharia demanutenção de redes e ramais prediais,pequenas ampliações de redes,instalação sibstituição de ramais nos Sistemas de Abastecimento de Água do interior - Gerência de Negócios de Coroatá /MA- Lote 02</v>
          </cell>
          <cell r="F9" t="str">
            <v>Pregão Eletrônico nº 051/2020</v>
          </cell>
          <cell r="G9" t="str">
            <v>01.958.324/0001-08</v>
          </cell>
          <cell r="H9" t="str">
            <v>Portaria 369/2025</v>
          </cell>
          <cell r="I9" t="str">
            <v>Denis Monteiro do Nascimento Junior</v>
          </cell>
          <cell r="J9" t="str">
            <v>Igor Pinto Souza</v>
          </cell>
          <cell r="K9">
            <v>45857</v>
          </cell>
          <cell r="L9">
            <v>46222</v>
          </cell>
          <cell r="M9">
            <v>236</v>
          </cell>
        </row>
        <row r="10">
          <cell r="A10" t="str">
            <v>033/2022</v>
          </cell>
          <cell r="B10">
            <v>1498135.68</v>
          </cell>
          <cell r="C10" t="str">
            <v>DO</v>
          </cell>
          <cell r="D10" t="str">
            <v>DESTACK SERVIÇOS AMBIENTAIS</v>
          </cell>
          <cell r="E10" t="str">
            <v xml:space="preserve">Prestação de serviços de locação de caminhão equipado com tanque, para transporte e fornecimento de água potável aos clientes da CAEMA em São Luís MA </v>
          </cell>
          <cell r="F10" t="str">
            <v>Pregão Eletrônico nº 0010/2022 PRE/CAEMA</v>
          </cell>
          <cell r="G10" t="str">
            <v>23.682.131/0001-00</v>
          </cell>
          <cell r="K10">
            <v>45856</v>
          </cell>
          <cell r="L10">
            <v>46221</v>
          </cell>
          <cell r="M10">
            <v>235</v>
          </cell>
        </row>
        <row r="11">
          <cell r="A11" t="str">
            <v>044/2022</v>
          </cell>
          <cell r="B11">
            <v>919376.16</v>
          </cell>
          <cell r="C11" t="str">
            <v>DO</v>
          </cell>
          <cell r="D11" t="str">
            <v>3D SERVIÇOS AMBIENTAIS LTDA.</v>
          </cell>
          <cell r="E11" t="str">
            <v>Prestação de serviços de lcoação de caminhão equipado com tanque, para o transporte e fornecimento de água potável aos clientes da Companhia de Saneamento Ambiental do Maranhão - CAEMA, Lote 01 Gerência de Negócios de Imperatriz</v>
          </cell>
          <cell r="F11" t="str">
            <v>PREGÃO ELETRÔNICO Nº 032/2022 - PRE/CAEMA</v>
          </cell>
          <cell r="G11" t="str">
            <v>63.444.715/0001-53</v>
          </cell>
          <cell r="K11">
            <v>45857</v>
          </cell>
          <cell r="L11">
            <v>46222</v>
          </cell>
          <cell r="M11">
            <v>236</v>
          </cell>
        </row>
        <row r="12">
          <cell r="A12" t="str">
            <v>045/2022</v>
          </cell>
          <cell r="B12">
            <v>2214437.7999999998</v>
          </cell>
          <cell r="C12" t="str">
            <v>DO</v>
          </cell>
          <cell r="D12" t="str">
            <v>3D SERVIÇOS AMBIENTAIS LTDA.</v>
          </cell>
          <cell r="E12" t="str">
            <v>Prestação de serviços de lcoação de caminhão equipado com tanque, para o transporte e fornecimento de água potável aos clientes da Companhia de Saneamento Ambiental do Maranhão - CAEMA, Lote 02 Gerência de Negócios de PEDREIRAS, SÃO JOÃO DOS PATOS, PRESIDENTE DUTRA</v>
          </cell>
          <cell r="F12" t="str">
            <v>PREGÃO ELETRÔNICO Nº 032/2022 - PRE/CAEMA</v>
          </cell>
          <cell r="G12" t="str">
            <v>23.682.131/0001-00</v>
          </cell>
          <cell r="K12">
            <v>45858</v>
          </cell>
          <cell r="L12">
            <v>46223</v>
          </cell>
          <cell r="M12">
            <v>237</v>
          </cell>
        </row>
        <row r="13">
          <cell r="A13" t="str">
            <v>025/2024</v>
          </cell>
          <cell r="B13">
            <v>26401.439999999999</v>
          </cell>
          <cell r="C13" t="str">
            <v>DG-LOCAÇÃO</v>
          </cell>
          <cell r="D13" t="str">
            <v xml:space="preserve">Sra VANDA MARIA CONCEIÇÃO DE ARAUJO (locatária) </v>
          </cell>
          <cell r="E13" t="str">
            <v>Locação de imóvel situado na rua Dom Mota, nº 192  Centro, município de Buriticupu/ Ma, para funcionamento do Escritório Local.</v>
          </cell>
          <cell r="F13" t="str">
            <v>DISPENSA DE LICITAÇÃO N° 011/2024</v>
          </cell>
          <cell r="G13" t="str">
            <v>922.925.423-15</v>
          </cell>
          <cell r="K13">
            <v>46225</v>
          </cell>
          <cell r="L13">
            <v>46590</v>
          </cell>
          <cell r="M13">
            <v>604</v>
          </cell>
        </row>
        <row r="14">
          <cell r="A14" t="str">
            <v>028/2021</v>
          </cell>
          <cell r="B14">
            <v>2612243.9700000002</v>
          </cell>
          <cell r="C14" t="str">
            <v>DO</v>
          </cell>
          <cell r="D14" t="str">
            <v>QUANTICA X CONSTRUÇÕES E COMÉRCIO LTDA</v>
          </cell>
          <cell r="E14" t="str">
            <v>Prestação de serviços comuns de engenharia demanutenção de redes e ramais prediais,pequenas ampliações de redes,instalação ubstituição de ramais nos Sistemas de Abastecimento de Água do interior - Gerência de Negócios de Pedreiras Lote 03</v>
          </cell>
          <cell r="F14" t="str">
            <v>Pregão Eletrônico nº 051/2020</v>
          </cell>
          <cell r="G14" t="str">
            <v>10.935.566/0001-69</v>
          </cell>
          <cell r="K14">
            <v>45864</v>
          </cell>
          <cell r="L14">
            <v>46229</v>
          </cell>
          <cell r="M14">
            <v>243</v>
          </cell>
        </row>
        <row r="15">
          <cell r="A15" t="str">
            <v>029/2021</v>
          </cell>
          <cell r="B15">
            <v>2521577.4500000002</v>
          </cell>
          <cell r="C15" t="str">
            <v>DO</v>
          </cell>
          <cell r="D15" t="str">
            <v>QUANTICA X CONSTRUÇÕES E COMÉRCIO LTDA</v>
          </cell>
          <cell r="E15" t="str">
            <v>Prestação de serviços comuns de engenharia demanutenção de redes e ramais prediais,pequenas ampliações de redes,instalação ubstituição de ramais nos Sistemas de Abastecimento de Água do interior - Gerência de Negócios de Presidente Dutra Lote 03</v>
          </cell>
          <cell r="F15" t="str">
            <v>Pregão Eletrônico nº 051/2020</v>
          </cell>
          <cell r="G15" t="str">
            <v>10.935.566/0001-69</v>
          </cell>
          <cell r="H15" t="str">
            <v>Portaria 428/2025</v>
          </cell>
          <cell r="I15" t="str">
            <v>José Fernando Castro Silva</v>
          </cell>
          <cell r="J15" t="str">
            <v>Carlos Alberto Rodrigues Nunes</v>
          </cell>
          <cell r="K15">
            <v>45864</v>
          </cell>
          <cell r="L15">
            <v>46229</v>
          </cell>
          <cell r="M15">
            <v>243</v>
          </cell>
        </row>
        <row r="16">
          <cell r="A16" t="str">
            <v>030/2021</v>
          </cell>
          <cell r="B16">
            <v>2206781.94</v>
          </cell>
          <cell r="C16" t="str">
            <v>DO</v>
          </cell>
          <cell r="D16" t="str">
            <v>QUANTICA X CONSTRUÇÕES E COMÉRCIO LTDA</v>
          </cell>
          <cell r="E16" t="str">
            <v>Prestação de serviços comuns de engenharia demanutenção de redes e ramais prediais,pequenas ampliações de redes,instalação ubstituição de ramais nos Sistemas de Abastecimento de Água do interior - Gerência de Negócios de São João dos Patos Lote 03</v>
          </cell>
          <cell r="F16" t="str">
            <v>Pregão Eletrônico nº 051/2020</v>
          </cell>
          <cell r="G16" t="str">
            <v>10.935.566/0001-69</v>
          </cell>
          <cell r="K16">
            <v>45864</v>
          </cell>
          <cell r="L16">
            <v>46229</v>
          </cell>
          <cell r="M16">
            <v>243</v>
          </cell>
        </row>
        <row r="17">
          <cell r="A17" t="str">
            <v>CV 003/2023</v>
          </cell>
          <cell r="B17">
            <v>49800</v>
          </cell>
          <cell r="C17" t="str">
            <v>DG</v>
          </cell>
          <cell r="D17" t="str">
            <v>ASSOCIAÇÃO DOS SERVIDORES DA CAEMA DE SÃO LUÍS/MA - ASSERCA</v>
          </cell>
          <cell r="E17" t="str">
            <v>Autorização de concessão de descontos em folha, referentes a contribuições sociais, convênios e quitação de despesas de associado titular da ASSERCA</v>
          </cell>
          <cell r="F17" t="str">
            <v>CONVÊNIO</v>
          </cell>
          <cell r="G17" t="str">
            <v>03.010.767/0001-90</v>
          </cell>
          <cell r="K17">
            <v>45863</v>
          </cell>
          <cell r="L17">
            <v>46228</v>
          </cell>
          <cell r="M17">
            <v>242</v>
          </cell>
        </row>
        <row r="18">
          <cell r="A18" t="str">
            <v>CV 006/2023</v>
          </cell>
          <cell r="C18" t="str">
            <v>DG</v>
          </cell>
          <cell r="D18" t="str">
            <v>ASSOCIAÇÃO DOS SERVIDORES DA CAEMA DE ITAPECURU MIRIM/MA - ASSERCA II</v>
          </cell>
          <cell r="E18" t="str">
            <v>Concessão de descontos em folha referentes a contribuições sociais, convênios e quitação de despesas de associado titular da ASSERCA</v>
          </cell>
          <cell r="F18" t="str">
            <v>CONVÊNIO</v>
          </cell>
          <cell r="G18" t="str">
            <v>23.673.478/0001-88</v>
          </cell>
          <cell r="K18">
            <v>45868</v>
          </cell>
          <cell r="L18">
            <v>46233</v>
          </cell>
          <cell r="M18">
            <v>247</v>
          </cell>
        </row>
        <row r="19">
          <cell r="A19" t="str">
            <v>053/2022</v>
          </cell>
          <cell r="B19">
            <v>3475424.21</v>
          </cell>
          <cell r="C19" t="str">
            <v>DO</v>
          </cell>
          <cell r="D19" t="str">
            <v>QUANTICA X CONSTRUÇÕES E COMÉRCIO LTDA</v>
          </cell>
          <cell r="E19" t="str">
            <v>Serviços de engenharia para manutenção de redes e ramais prediais, pequenas ampliações de redes, instalação e substituição de ramais nos sistemas de Abastecimento de Água do Interior - Gerência de Negócios de Pinheiro/MA, LOTE 01, os serviços serão prestados nas condições estabelecidas no Edital referido no preâmbulo e seus anexos que se encontram no processo e na proposta vencedora, independentemente de transcrição.</v>
          </cell>
          <cell r="F19" t="str">
            <v>Pregão Eletrônico nº 034/2022 PRE/CAEMA</v>
          </cell>
          <cell r="G19" t="str">
            <v>10.935.566/0001-69</v>
          </cell>
          <cell r="K19">
            <v>45873</v>
          </cell>
          <cell r="L19">
            <v>46238</v>
          </cell>
          <cell r="M19">
            <v>252</v>
          </cell>
        </row>
        <row r="20">
          <cell r="A20" t="str">
            <v>055/2022</v>
          </cell>
          <cell r="B20">
            <v>3226786.68</v>
          </cell>
          <cell r="C20" t="str">
            <v>DO</v>
          </cell>
          <cell r="D20" t="str">
            <v>QUANTICA X CONSTRUÇÕES E COMÉRCIO LTDA</v>
          </cell>
          <cell r="E20" t="str">
            <v>Serviços de engenharia de  manutenção de redes e ramais prediais, pequenas ampliações de redes, instalação e  substituição de ramais nos sistemas de Abastecimento de Água do Interior - Gerências  de Negócio de Santa Inês/MA, LOTE 01</v>
          </cell>
          <cell r="F20" t="str">
            <v>Pregão Eletrônico nº 034/2022 PRE/CAEMA</v>
          </cell>
          <cell r="G20" t="str">
            <v>10.935.566/0001-69</v>
          </cell>
          <cell r="K20">
            <v>45872</v>
          </cell>
          <cell r="L20">
            <v>46237</v>
          </cell>
          <cell r="M20">
            <v>251</v>
          </cell>
        </row>
        <row r="21">
          <cell r="A21" t="str">
            <v>073/2023</v>
          </cell>
          <cell r="B21">
            <v>5857934.79</v>
          </cell>
          <cell r="C21" t="str">
            <v>DO</v>
          </cell>
          <cell r="D21" t="str">
            <v>ORIONSISTEM EQUIPAMENTOS INDUSTRIAIS LTDA</v>
          </cell>
          <cell r="E21" t="str">
            <v>Contratação de empresa de engenharia especializada para operar, executar manutenções corretivas e preventivas com fornecimento de peças, sob autorização prévia da CAEMA, e limpeza geral das áreas internas e externas da Estação de Tratamento de Esgotos - ETE ANIL e de suas 07 (sete) Estações Elevatórias de Esgotos contribuintes, com mão de obra própria, localizadas no município de São Luis — MA</v>
          </cell>
          <cell r="F21" t="str">
            <v>PREGÃO ELETRÔNICO 013/2023</v>
          </cell>
          <cell r="G21" t="str">
            <v>04.539.534/0001-41</v>
          </cell>
          <cell r="K21">
            <v>45510</v>
          </cell>
          <cell r="L21">
            <v>45875</v>
          </cell>
          <cell r="M21" t="e">
            <v>#NUM!</v>
          </cell>
        </row>
        <row r="22">
          <cell r="A22" t="str">
            <v>074/2023</v>
          </cell>
          <cell r="B22">
            <v>5228.55</v>
          </cell>
          <cell r="C22" t="str">
            <v>DG-LOCAÇÃO</v>
          </cell>
          <cell r="D22" t="str">
            <v>ANTONIA LEOMAR VIERA MARTINS (S. JOSÉ DOS BASÍLIOS)</v>
          </cell>
          <cell r="E22" t="str">
            <v>Locação o imóvel situado na Rua Magalhães de Almeida, 358, Centro, Município de SÃO JOSÉ DOS BASÍLIOS/MA, para funcionamento do Escritório Local.</v>
          </cell>
          <cell r="F22" t="str">
            <v>DISPENSA DE LICITAÇÃO  N° 001/2018</v>
          </cell>
          <cell r="G22" t="str">
            <v>328.511.973-04</v>
          </cell>
          <cell r="K22">
            <v>45511</v>
          </cell>
          <cell r="L22">
            <v>45876</v>
          </cell>
          <cell r="M22" t="e">
            <v>#NUM!</v>
          </cell>
        </row>
        <row r="23">
          <cell r="A23" t="str">
            <v>071/2023</v>
          </cell>
          <cell r="B23">
            <v>51067.81</v>
          </cell>
          <cell r="C23" t="str">
            <v>DE</v>
          </cell>
          <cell r="D23" t="str">
            <v>CONCREMAT ENGENHARIA E TECNOLOGIA S/A</v>
          </cell>
          <cell r="E23" t="str">
            <v>Execução de Serviços de GERENCIAMENTO E APOIO A FISCALIZAÇÃO DAS OBRAS DE IMPLANTAÇÃO E AMPLIAÇÃO DO SISTEMA DE ESGOTAMENTO SANITÁRIO DA CIDADE DE SÃO LUÍS/MA — PAC 2</v>
          </cell>
          <cell r="F23" t="str">
            <v>LICITAÇÃO PUBLICA N° 001/2023</v>
          </cell>
          <cell r="G23" t="str">
            <v>33.146.648/0001-20</v>
          </cell>
          <cell r="K23">
            <v>45512</v>
          </cell>
          <cell r="L23">
            <v>45877</v>
          </cell>
          <cell r="M23" t="e">
            <v>#NUM!</v>
          </cell>
        </row>
        <row r="24">
          <cell r="A24" t="str">
            <v>077/2023</v>
          </cell>
          <cell r="B24">
            <v>52571.97</v>
          </cell>
          <cell r="C24" t="str">
            <v>DG</v>
          </cell>
          <cell r="D24" t="str">
            <v>LYRA TECNOLOGIA E GESTAO EM M2M LTDA</v>
          </cell>
          <cell r="E24" t="str">
            <v>Serviço de transmissao de dados de multioperadora de celular para telemetria e comunicação de dado com plantaforma de gestão integrado on-line.</v>
          </cell>
          <cell r="F24" t="str">
            <v>DIPENSA DE LICITAÇÃO N° 021/2023</v>
          </cell>
          <cell r="G24" t="str">
            <v>27.554.839/0001-28</v>
          </cell>
          <cell r="K24">
            <v>45513</v>
          </cell>
          <cell r="L24">
            <v>45878</v>
          </cell>
          <cell r="M24" t="e">
            <v>#NUM!</v>
          </cell>
        </row>
        <row r="25">
          <cell r="A25" t="str">
            <v>103/2023</v>
          </cell>
          <cell r="B25">
            <v>1257563.3700000001</v>
          </cell>
          <cell r="C25" t="str">
            <v>DE</v>
          </cell>
          <cell r="D25" t="str">
            <v>HIDREL ENGENHARIA LTDA</v>
          </cell>
          <cell r="E25" t="str">
            <v>Execução perfuração de 01 (um) poço tubular profundo no município de Presidente Dutra/MA: 8"X 350M com revestimento em aço carbono e filtros em aço inox reforçado.</v>
          </cell>
          <cell r="F25" t="str">
            <v>PREGÃO ELETRONICO 024/2023</v>
          </cell>
          <cell r="G25">
            <v>73864233000106</v>
          </cell>
          <cell r="K25">
            <v>45524</v>
          </cell>
          <cell r="L25">
            <v>45889</v>
          </cell>
          <cell r="M25" t="e">
            <v>#NUM!</v>
          </cell>
        </row>
        <row r="26">
          <cell r="A26" t="str">
            <v>029/2024</v>
          </cell>
          <cell r="B26">
            <v>14083.52</v>
          </cell>
          <cell r="C26" t="str">
            <v>DG-LOCAÇÃO</v>
          </cell>
          <cell r="D26" t="str">
            <v>LOCAÇÃO MARANHÃOZINHO</v>
          </cell>
          <cell r="E26" t="str">
            <v>Locação de imóvel situado na rua Boa Vista, MARANHÃOZINHO/MA, para funcionamento do Escritório Local.</v>
          </cell>
          <cell r="F26" t="str">
            <v>DISPENSA DE LICITAÇÃO 
N° 015/2024</v>
          </cell>
          <cell r="G26" t="str">
            <v>279.220.653-53</v>
          </cell>
          <cell r="K26">
            <v>45525</v>
          </cell>
          <cell r="L26">
            <v>45890</v>
          </cell>
          <cell r="M26" t="e">
            <v>#NUM!</v>
          </cell>
        </row>
        <row r="27">
          <cell r="A27" t="str">
            <v>037/2024</v>
          </cell>
          <cell r="B27">
            <v>3680996.17</v>
          </cell>
          <cell r="C27" t="str">
            <v>DG</v>
          </cell>
          <cell r="D27" t="str">
            <v xml:space="preserve">C&amp;S VIGILÂNCIA E SEGURANÇA PATRIMONIAL LTDA </v>
          </cell>
          <cell r="E27" t="str">
            <v>PRESTAÇÃO DE SEVIÇOS CONTINUADOS DE VIGIÂNCIA ARMADA E VIGILÂNCIA MOTORIZADA, SEGURANÇA FÍSICA E PATRIMONIAL, DIURNA E NOTURNA. SÃO LUIS-MA, ITALUÍS E BACABEIRA-MA.</v>
          </cell>
          <cell r="F27" t="str">
            <v>LICITAÇÃO ELETRÔNICA Nº 007/2024-PRL/CAEMA</v>
          </cell>
          <cell r="G27" t="str">
            <v>14151000/0002-88</v>
          </cell>
          <cell r="K27">
            <v>45526</v>
          </cell>
          <cell r="L27">
            <v>45891</v>
          </cell>
          <cell r="M27" t="e">
            <v>#NUM!</v>
          </cell>
        </row>
        <row r="28">
          <cell r="A28" t="str">
            <v>045/2024</v>
          </cell>
          <cell r="B28">
            <v>21198718.219999999</v>
          </cell>
          <cell r="C28" t="str">
            <v>DE</v>
          </cell>
          <cell r="D28" t="str">
            <v xml:space="preserve">MOBICON CONSTRUTORA LTDA </v>
          </cell>
          <cell r="E28" t="str">
            <v>Contratação de empresa de engenharia para execução do saldo remanescente das obras de implantação da 2ª etapa do sistema de esgotamento sanitário de Itapecuru-Mirim/MA, rede coletora, ligações prediais e estações elevatórias condicionantes.</v>
          </cell>
          <cell r="F28" t="str">
            <v>LICITAÇÃO ELETRÔNICA
N° 010/2024</v>
          </cell>
          <cell r="G28" t="str">
            <v>12.260.240/0001-04</v>
          </cell>
          <cell r="K28">
            <v>45526</v>
          </cell>
          <cell r="L28">
            <v>45891</v>
          </cell>
          <cell r="M28" t="e">
            <v>#NUM!</v>
          </cell>
        </row>
        <row r="29">
          <cell r="A29" t="str">
            <v>059/2022</v>
          </cell>
          <cell r="B29">
            <v>42339.98</v>
          </cell>
          <cell r="C29" t="str">
            <v>DG</v>
          </cell>
          <cell r="D29" t="str">
            <v>SENIOR SISTEMAS</v>
          </cell>
          <cell r="E29" t="str">
            <v>serviços de atualização legal, suporte técnico de solução integrada de tecnologia e gestão de recursos humanos</v>
          </cell>
          <cell r="F29" t="str">
            <v>Inexigibilidade de Licitação N° 003/2022</v>
          </cell>
          <cell r="G29" t="str">
            <v>80.680.093/0001-81</v>
          </cell>
          <cell r="K29">
            <v>45528</v>
          </cell>
          <cell r="L29">
            <v>45893</v>
          </cell>
          <cell r="M29" t="e">
            <v>#NUM!</v>
          </cell>
        </row>
        <row r="30">
          <cell r="A30" t="str">
            <v>CV 007/2023</v>
          </cell>
          <cell r="B30">
            <v>480000</v>
          </cell>
          <cell r="C30" t="str">
            <v>DG</v>
          </cell>
          <cell r="D30" t="str">
            <v>ASSOCIAÇÃO DOS SERVIDORES DA CAEMA DE IMPERATRIZ/MA - ASSERCA</v>
          </cell>
          <cell r="E30" t="str">
            <v>Concessão de descontos em folha referentes a contribuições sociais, convênios e quitação de despesas de associado titular da ASSERCA</v>
          </cell>
          <cell r="F30" t="str">
            <v>CONVÊNIO</v>
          </cell>
          <cell r="G30" t="str">
            <v>41.371.311/0001-44</v>
          </cell>
          <cell r="K30">
            <v>45528</v>
          </cell>
          <cell r="L30">
            <v>45893</v>
          </cell>
          <cell r="M30" t="e">
            <v>#NUM!</v>
          </cell>
        </row>
        <row r="31">
          <cell r="A31" t="str">
            <v>056/2021</v>
          </cell>
          <cell r="B31">
            <v>696000</v>
          </cell>
          <cell r="C31" t="str">
            <v>DG</v>
          </cell>
          <cell r="D31" t="str">
            <v>NOSSA FROTA</v>
          </cell>
          <cell r="E31" t="str">
            <v>Locação de Veículos automotores de grande e pequeno porte sem motorista e sem combustível para atender as demandasda CAEMA</v>
          </cell>
          <cell r="F31" t="str">
            <v>Pregão Eletrônico nº 036/2020 PRE/CAEMA</v>
          </cell>
          <cell r="G31" t="str">
            <v>29.118.884/0001-65</v>
          </cell>
          <cell r="K31">
            <v>45530</v>
          </cell>
          <cell r="L31">
            <v>45895</v>
          </cell>
          <cell r="M31" t="e">
            <v>#NUM!</v>
          </cell>
        </row>
        <row r="32">
          <cell r="A32" t="str">
            <v>076/2022</v>
          </cell>
          <cell r="C32" t="str">
            <v>DC</v>
          </cell>
          <cell r="D32" t="str">
            <v>CREDPAY SOLUÇÕES EM PAGAMENTOS LTDA</v>
          </cell>
          <cell r="E32" t="str">
            <v>Prestação de serviços na modalidade de licenciamento e fornecimento de gateway de pagamentos para prover aos clientes CAEMA o meio de pagamento on-line.</v>
          </cell>
          <cell r="F32" t="str">
            <v>Credenciamento n° 001/2019</v>
          </cell>
          <cell r="G32" t="str">
            <v>27.659.570/0001-44</v>
          </cell>
          <cell r="K32">
            <v>45531</v>
          </cell>
          <cell r="L32">
            <v>45896</v>
          </cell>
          <cell r="M32" t="e">
            <v>#NUM!</v>
          </cell>
        </row>
        <row r="33">
          <cell r="A33" t="str">
            <v>074/2022</v>
          </cell>
          <cell r="B33">
            <v>11039.79</v>
          </cell>
          <cell r="C33" t="str">
            <v>DG-LOCAÇÃO</v>
          </cell>
          <cell r="D33" t="str">
            <v>RAMILTON BANDEIRA BRAGA (ARAME)</v>
          </cell>
          <cell r="E33" t="str">
            <v xml:space="preserve">Locação de imóvel situado na Rua Ulisses Guimarães, n 730, Centro, MUNICÍPIO DE ARAME/MA, para funcionamento do Escritório Local </v>
          </cell>
          <cell r="F33" t="str">
            <v>Dispensa de licitação</v>
          </cell>
          <cell r="G33" t="str">
            <v>603.699.203-00</v>
          </cell>
          <cell r="K33">
            <v>45532</v>
          </cell>
          <cell r="L33">
            <v>45897</v>
          </cell>
          <cell r="M33" t="e">
            <v>#NUM!</v>
          </cell>
        </row>
        <row r="34">
          <cell r="A34" t="str">
            <v>083/2023</v>
          </cell>
          <cell r="B34">
            <v>10737838</v>
          </cell>
          <cell r="C34" t="str">
            <v>DC</v>
          </cell>
          <cell r="D34" t="str">
            <v>FAE SISTEMA DE MEDIÇÃO S/A</v>
          </cell>
          <cell r="E34" t="str">
            <v>Fornecimento de hidrômetros e caixas de proteção de parede e passeio, para instalação em ramais prediais localizados nos sistemas de abastecimento de água da capital e interior.</v>
          </cell>
          <cell r="F34" t="str">
            <v>DISPENSA DE LICITAÇÃO N° 023/2023</v>
          </cell>
          <cell r="G34" t="str">
            <v>07.281.413/0001-30</v>
          </cell>
          <cell r="K34">
            <v>45532</v>
          </cell>
          <cell r="L34">
            <v>45897</v>
          </cell>
          <cell r="M34" t="e">
            <v>#NUM!</v>
          </cell>
        </row>
        <row r="35">
          <cell r="A35" t="str">
            <v>007/2024</v>
          </cell>
          <cell r="B35">
            <v>26001075</v>
          </cell>
          <cell r="C35" t="str">
            <v>DE</v>
          </cell>
          <cell r="D35" t="str">
            <v>QUALITECH ENGENHARIA LTDA</v>
          </cell>
          <cell r="E35" t="str">
            <v>Execução de serviços de recuperação de reservatórios ETA´s e execução de serviços complementares, na região metropolitana e nas gerências de Pinheiro, Santa Inês, Itapecuru e Chapadinha MA</v>
          </cell>
          <cell r="F35" t="str">
            <v>PREGÃO ELETRÔNICO 018/2023 ARP 023/2023 - CAEMA</v>
          </cell>
          <cell r="G35" t="str">
            <v>69388361000153</v>
          </cell>
          <cell r="H35" t="str">
            <v>Portaria 205/2024</v>
          </cell>
          <cell r="I35" t="str">
            <v>Elio Ataídes Cavalcante</v>
          </cell>
          <cell r="J35" t="str">
            <v>Gabriel Feres Moreira Lima/George Carvalho Costa</v>
          </cell>
          <cell r="K35">
            <v>45536</v>
          </cell>
          <cell r="L35">
            <v>45901</v>
          </cell>
          <cell r="M35" t="e">
            <v>#NUM!</v>
          </cell>
        </row>
        <row r="36">
          <cell r="A36" t="str">
            <v>038/2024</v>
          </cell>
          <cell r="B36">
            <v>46380</v>
          </cell>
          <cell r="C36" t="str">
            <v>DG</v>
          </cell>
          <cell r="D36" t="str">
            <v xml:space="preserve">IPED EDUCAÇÃO CORPORATIVA LTDA </v>
          </cell>
          <cell r="E36" t="str">
            <v>Contratação de empresa especializada em serviços de capacitação, aprendizagem e treinamentos, mediante plataformas de cursos online, para os funcionários da Companhia de Saneamento Ambiental do Maranhão – CAEMA.</v>
          </cell>
          <cell r="F36" t="str">
            <v>INEXIGIBILIDADE DE LICITAÇÃO N°  007/2024</v>
          </cell>
          <cell r="G36" t="str">
            <v>32.283.883/0001-80</v>
          </cell>
          <cell r="H36" t="str">
            <v>Portaria 525/2024</v>
          </cell>
          <cell r="I36" t="str">
            <v>Danilo Soares Serra Gaioso</v>
          </cell>
          <cell r="J36" t="str">
            <v>Mayra Milany Sousa Lima</v>
          </cell>
          <cell r="K36">
            <v>45537</v>
          </cell>
          <cell r="L36">
            <v>45902</v>
          </cell>
          <cell r="M36" t="e">
            <v>#NUM!</v>
          </cell>
        </row>
        <row r="37">
          <cell r="A37" t="str">
            <v>010/2025</v>
          </cell>
          <cell r="B37">
            <v>1597400.39</v>
          </cell>
          <cell r="C37" t="str">
            <v>DE</v>
          </cell>
          <cell r="D37" t="str">
            <v>HIDREL ENGENHARIA LTDA</v>
          </cell>
          <cell r="E37" t="str">
            <v>Perfuração de 01 (UM) poço tubular profundo, no Município de Sucupira do Norte/MA</v>
          </cell>
          <cell r="F37" t="str">
            <v>Pregão Eletrônico n.º 024/2023-PRE/CAEMA – ARP 019/2023</v>
          </cell>
          <cell r="G37" t="str">
            <v>73864233000106</v>
          </cell>
          <cell r="K37">
            <v>45632</v>
          </cell>
          <cell r="L37">
            <v>45997</v>
          </cell>
          <cell r="M37">
            <v>11</v>
          </cell>
        </row>
        <row r="38">
          <cell r="A38" t="str">
            <v>039/2024</v>
          </cell>
          <cell r="B38">
            <v>20899765.920000002</v>
          </cell>
          <cell r="C38" t="str">
            <v>DG</v>
          </cell>
          <cell r="D38" t="str">
            <v xml:space="preserve">HUMANA ASSISTÊNCIA MÉDICA LTDA </v>
          </cell>
          <cell r="E38" t="str">
            <v>Contratação de operadora, administradora de benefícios ou seguradora de plano de assistência à saúde, com registro na Agência Nacional de Saúde Suplementar - ANS, para operar plano privado de assistência à saúde, destinado aos empregados e cargos comissionados da CAEMA.</v>
          </cell>
          <cell r="F38" t="str">
            <v>LICITAÇÃO ELETRÔNICA N.° 009/2024-PRL/CAEMA</v>
          </cell>
          <cell r="G38" t="str">
            <v>00.361.325/0001-08</v>
          </cell>
          <cell r="K38">
            <v>45544</v>
          </cell>
          <cell r="L38">
            <v>45909</v>
          </cell>
          <cell r="M38" t="e">
            <v>#NUM!</v>
          </cell>
        </row>
        <row r="39">
          <cell r="A39" t="str">
            <v>013/2025</v>
          </cell>
          <cell r="B39">
            <v>1233745.24</v>
          </cell>
          <cell r="C39" t="str">
            <v>DE</v>
          </cell>
          <cell r="D39" t="str">
            <v>SÓ POÇOS CONSTRUÇÕES EIRELI</v>
          </cell>
          <cell r="E39" t="str">
            <v>O objeto do presente Termo de Contrato é a perfuração de 01 (um) poço tubular, no Município de
Riachão/MA</v>
          </cell>
          <cell r="F39" t="str">
            <v>Pregão Eletrônico n.º 024/2023-
PRE/CAEMA – ARP 022/2023</v>
          </cell>
          <cell r="G39" t="str">
            <v>06.922.664.0001-94</v>
          </cell>
          <cell r="H39" t="str">
            <v>Portaria 150/2025</v>
          </cell>
          <cell r="I39" t="str">
            <v>Sandro Sávio Soares Fonseca</v>
          </cell>
          <cell r="J39" t="str">
            <v>Daiane Volff Ferreira</v>
          </cell>
          <cell r="K39">
            <v>45545</v>
          </cell>
          <cell r="L39">
            <v>45910</v>
          </cell>
          <cell r="M39" t="e">
            <v>#NUM!</v>
          </cell>
        </row>
        <row r="40">
          <cell r="A40" t="str">
            <v>040/2024</v>
          </cell>
          <cell r="B40">
            <v>25092</v>
          </cell>
          <cell r="C40" t="str">
            <v>DG</v>
          </cell>
          <cell r="D40" t="str">
            <v xml:space="preserve">MOVING CAPACITAÇÕES LTDA </v>
          </cell>
          <cell r="E40" t="str">
            <v xml:space="preserve">Prestação de serviço de capacitação de 46 empregados no curso de “ADITIVOS, REEQUILÍBRIO ECONÔMICO-FINANCEIRO, MEDIÇÕES E PAGAMENTO DE CONTRATOS DE OBRAS PÚBLICAS – MODALIDADE À DISTÂNCIA para desenvolvimento corporativo da Companhia de Saneamento Ambiental do Maranhão – CAEMA.
</v>
          </cell>
          <cell r="F40" t="str">
            <v>INEXIGIBILIDADE DE LICITAÇÃO 
N° 006/2024</v>
          </cell>
          <cell r="G40" t="str">
            <v>42.864.563/0001-78</v>
          </cell>
          <cell r="H40" t="str">
            <v>Portaria 530/2024</v>
          </cell>
          <cell r="I40" t="str">
            <v>Danilo Soares Serra Gaioso</v>
          </cell>
          <cell r="J40" t="str">
            <v>Mayra Milany Sousa Lima</v>
          </cell>
          <cell r="K40">
            <v>45547</v>
          </cell>
          <cell r="L40">
            <v>45912</v>
          </cell>
          <cell r="M40" t="e">
            <v>#NUM!</v>
          </cell>
        </row>
        <row r="41">
          <cell r="A41" t="str">
            <v>005/2023</v>
          </cell>
          <cell r="B41">
            <v>1412815.48</v>
          </cell>
          <cell r="C41" t="str">
            <v>DE</v>
          </cell>
          <cell r="D41" t="str">
            <v>MPA CONSTRUÇÕES E PARTICIPAÇÕES LTDA</v>
          </cell>
          <cell r="E41" t="str">
            <v xml:space="preserve"> Contratação de empresa especializada em execução de serviços comuns de engenharia para melhorias nos sistemas de implantação e ampliação de redes de abastecimento de água e miscelâneas em municípios operados pela CAEMA.</v>
          </cell>
          <cell r="F41" t="str">
            <v>PREGÃO ELETRONICO 036/2022</v>
          </cell>
          <cell r="G41" t="str">
            <v>08.369.786/0001-20</v>
          </cell>
          <cell r="H41" t="str">
            <v>Portaria 117/2023</v>
          </cell>
          <cell r="I41" t="str">
            <v>Elio Ataídes Cavalcante</v>
          </cell>
          <cell r="J41" t="str">
            <v>George Carvalho Costa</v>
          </cell>
          <cell r="K41">
            <v>45548</v>
          </cell>
          <cell r="L41">
            <v>45913</v>
          </cell>
          <cell r="M41" t="e">
            <v>#NUM!</v>
          </cell>
        </row>
        <row r="42">
          <cell r="A42" t="str">
            <v>052/2021</v>
          </cell>
          <cell r="B42">
            <v>1420661.88</v>
          </cell>
          <cell r="C42" t="str">
            <v>DG</v>
          </cell>
          <cell r="D42" t="str">
            <v>LINK CARD ADMINISTRADORA DE BENEFÍCIOS EIRELI</v>
          </cell>
          <cell r="E42" t="str">
            <v>Contratação de empresa especializada na prestação de serviçosde gerenciamento informatizado de manutenção da frota de veículos da CAEMA</v>
          </cell>
          <cell r="F42" t="str">
            <v>Ata de Registro de Preços nº 018/2020 Supli GEGCO/AGESPISA (carona)</v>
          </cell>
          <cell r="G42" t="str">
            <v>12.039.966/0001-11</v>
          </cell>
          <cell r="H42" t="str">
            <v>Portaria 283/2025</v>
          </cell>
          <cell r="I42" t="str">
            <v>Adonias Lima Coelho</v>
          </cell>
          <cell r="J42" t="str">
            <v>Jurandir Pereira da Silva</v>
          </cell>
          <cell r="K42">
            <v>45548</v>
          </cell>
          <cell r="L42">
            <v>45913</v>
          </cell>
          <cell r="M42" t="e">
            <v>#NUM!</v>
          </cell>
        </row>
        <row r="43">
          <cell r="A43" t="str">
            <v>053/2021</v>
          </cell>
          <cell r="B43">
            <v>668777.85</v>
          </cell>
          <cell r="C43" t="str">
            <v>DG</v>
          </cell>
          <cell r="D43" t="str">
            <v>LINK CARD ADMINISTRADORA DE BENEFÍCIOS LTDA</v>
          </cell>
          <cell r="E43" t="str">
            <v>Contratação de empresa especializada no gerenciamento eletrônico e controle de abastecimento,implantação eoperação de um sistema informatizado /integrado com utilizaçãode cartão magnético viaweb que perimta o funcionamento de combustíveis gasolina comum, diesel s10) através de redes de postos credenciados para atender a frota de veículos da CAEMA</v>
          </cell>
          <cell r="F43" t="str">
            <v>Ata de Registro de Preços nº 004/2021 Supli GEGCO/AGESPISA (carona)</v>
          </cell>
          <cell r="G43" t="str">
            <v>12.039.966/0001-11</v>
          </cell>
          <cell r="H43" t="str">
            <v>Portaria 284/2025</v>
          </cell>
          <cell r="I43" t="str">
            <v>Adonias Lima Coelho</v>
          </cell>
          <cell r="J43" t="str">
            <v>Jurandir Pereira da Silva</v>
          </cell>
          <cell r="K43">
            <v>45548</v>
          </cell>
          <cell r="L43">
            <v>45913</v>
          </cell>
          <cell r="M43" t="e">
            <v>#NUM!</v>
          </cell>
        </row>
        <row r="44">
          <cell r="A44" t="str">
            <v>013/2024</v>
          </cell>
          <cell r="B44">
            <v>262376.62</v>
          </cell>
          <cell r="C44" t="str">
            <v>DE</v>
          </cell>
          <cell r="D44" t="str">
            <v>MPA CONSTRUÇÕES E PARTICIPAÇÕES LTDA</v>
          </cell>
          <cell r="E44" t="str">
            <v>Contratação de empresa de engenharia especializada para prestação de serviços de Melhorias do Sistema e Abastecimento de Água, no Município de Morros/MA</v>
          </cell>
          <cell r="F44" t="str">
            <v>PREGÃO ELETRÔNICO 038/2023 - PRL/CAEMA</v>
          </cell>
          <cell r="G44" t="str">
            <v>08369786000120</v>
          </cell>
          <cell r="H44" t="str">
            <v>Portaria 209/2024</v>
          </cell>
          <cell r="I44" t="str">
            <v>Elio Ataídes Cavalcante</v>
          </cell>
          <cell r="J44" t="str">
            <v>George Carvalho Costa</v>
          </cell>
          <cell r="K44">
            <v>45552</v>
          </cell>
          <cell r="L44">
            <v>45917</v>
          </cell>
          <cell r="M44" t="e">
            <v>#NUM!</v>
          </cell>
        </row>
        <row r="45">
          <cell r="A45" t="str">
            <v>089/2023</v>
          </cell>
          <cell r="B45">
            <v>3087479.1</v>
          </cell>
          <cell r="C45" t="str">
            <v>DO</v>
          </cell>
          <cell r="D45" t="str">
            <v>SÓ POÇOS E CONSTRUÇÕES EIRELI (IMPERATRIZ)</v>
          </cell>
          <cell r="E45" t="str">
            <v xml:space="preserve">Execução de serviços específico de engenharia e hidrogeologia para manuntenção e reabilitação de poços tubulares profundos em IMPERATRIZ/MA  </v>
          </cell>
          <cell r="F45" t="str">
            <v>PREGÃO ELETRONICO N 037/2022 ARP N 058/2022</v>
          </cell>
          <cell r="G45">
            <v>6922664000194</v>
          </cell>
          <cell r="H45" t="str">
            <v>Portaria 059/2024</v>
          </cell>
          <cell r="I45" t="str">
            <v>José dos Santos Pinheiro Jr</v>
          </cell>
          <cell r="J45" t="str">
            <v>Eduardo Marinho dos Santos</v>
          </cell>
          <cell r="K45">
            <v>45554</v>
          </cell>
          <cell r="L45">
            <v>45919</v>
          </cell>
          <cell r="M45" t="e">
            <v>#NUM!</v>
          </cell>
        </row>
        <row r="46">
          <cell r="A46" t="str">
            <v>021/2023</v>
          </cell>
          <cell r="B46">
            <v>1527328.57</v>
          </cell>
          <cell r="C46" t="str">
            <v>DO</v>
          </cell>
          <cell r="D46" t="str">
            <v>PESE PERFURAÇÕES DE POÇOS E SERVIÇOS LTDA</v>
          </cell>
          <cell r="E46" t="str">
            <v xml:space="preserve">Serviços comuns de engenharia e hidrogeologia para manutenção e
reabilitação de poços tubulares profundos operados pela CAEMA.
</v>
          </cell>
          <cell r="F46" t="str">
            <v>PREGÃO ELETRONICO N°  090.2021</v>
          </cell>
          <cell r="G46" t="str">
            <v xml:space="preserve"> 02.279.005/0001-20</v>
          </cell>
          <cell r="K46">
            <v>45558</v>
          </cell>
          <cell r="L46">
            <v>45923</v>
          </cell>
          <cell r="M46" t="e">
            <v>#NUM!</v>
          </cell>
        </row>
        <row r="47">
          <cell r="A47" t="str">
            <v>044/2024</v>
          </cell>
          <cell r="B47">
            <v>48825</v>
          </cell>
          <cell r="C47" t="str">
            <v>DG</v>
          </cell>
          <cell r="D47" t="str">
            <v xml:space="preserve">EMPRESA D B MORAES SOUZA ME </v>
          </cell>
          <cell r="E47" t="str">
            <v>Contratação de empresa especializada na manutenção de redes de fibra óptica, incluindo cabos, distribuidores ópticos, fusões ópticas, conversores ópticos e outros componentes relacionados. O  serviço contemplará as seguintes destinações: na Companhia de Saneamento Ambiental do Maranhão - CAEMA do Sacavém, Italuís e SEDE.</v>
          </cell>
          <cell r="F47" t="str">
            <v>DISPENSA DE LICITAÇÃO N° 019/2024</v>
          </cell>
          <cell r="G47" t="str">
            <v>26.857.138/0001-03</v>
          </cell>
          <cell r="H47" t="str">
            <v>CLÁUSULA 11ª</v>
          </cell>
          <cell r="I47" t="str">
            <v>Eliernandes Mendes Rodrigues</v>
          </cell>
          <cell r="J47" t="str">
            <v>Reginaldo da Silva Costa</v>
          </cell>
          <cell r="K47">
            <v>45561</v>
          </cell>
          <cell r="L47">
            <v>45926</v>
          </cell>
          <cell r="M47" t="e">
            <v>#NUM!</v>
          </cell>
        </row>
        <row r="48">
          <cell r="A48" t="str">
            <v>018/2023</v>
          </cell>
          <cell r="B48">
            <v>1040487.03</v>
          </cell>
          <cell r="C48" t="str">
            <v>DE</v>
          </cell>
          <cell r="D48" t="str">
            <v>PESE PERFURAÇÕES DE POÇOS E SERVIÇOS LTDA</v>
          </cell>
          <cell r="E48" t="str">
            <v xml:space="preserve">Serviços comuns de engenharia e hidrogeologia para manutenção e reabilitação de poços tubulares profundos operados pela CAEMA. </v>
          </cell>
          <cell r="F48" t="str">
            <v>PREGÃO ELETRONICO N°  090.2021</v>
          </cell>
          <cell r="G48" t="str">
            <v xml:space="preserve"> 02.279.005/0001-20</v>
          </cell>
          <cell r="K48">
            <v>45564</v>
          </cell>
          <cell r="L48">
            <v>45929</v>
          </cell>
          <cell r="M48" t="e">
            <v>#NUM!</v>
          </cell>
        </row>
        <row r="49">
          <cell r="A49" t="str">
            <v>008/2024</v>
          </cell>
          <cell r="B49">
            <v>1176915.9099999999</v>
          </cell>
          <cell r="C49" t="str">
            <v>DE</v>
          </cell>
          <cell r="D49" t="str">
            <v>HIDREL ENGENHARIA LTDA</v>
          </cell>
          <cell r="E49" t="str">
            <v>Perfuração de 01 (um) poço tubular profundo, com revestimento de tubo de aço carbono no Município de Pedreiras/MA</v>
          </cell>
          <cell r="F49" t="str">
            <v>PREGÃO ELETRÔNICO 024/2023 ARP 019/2023 - CAEMA</v>
          </cell>
          <cell r="G49" t="str">
            <v>73864233000106</v>
          </cell>
          <cell r="H49" t="str">
            <v>Portaria 206/2024</v>
          </cell>
          <cell r="I49" t="str">
            <v>Elio Ataídes Cavalcante</v>
          </cell>
          <cell r="J49" t="str">
            <v>Daiane Volff Ferreira</v>
          </cell>
          <cell r="K49">
            <v>45567</v>
          </cell>
          <cell r="L49">
            <v>45932</v>
          </cell>
          <cell r="M49" t="e">
            <v>#NUM!</v>
          </cell>
        </row>
        <row r="50">
          <cell r="A50" t="str">
            <v>081/2022</v>
          </cell>
          <cell r="B50">
            <v>87750</v>
          </cell>
          <cell r="C50" t="str">
            <v>DG</v>
          </cell>
          <cell r="D50" t="str">
            <v>APIL SEGURANÇA ELETRÔNICA LTDA</v>
          </cell>
          <cell r="E50" t="str">
            <v>Serviços de rastreamento e monitoramento eletrônico de 130 veículos com transmissão de dados via GPRS/GSM e recepção GPS 24 horas em tempo real, compreendendo a instalação de módulos rastreadores em comodato e a disponibilização de software de gerenciamento com acesso via Web para gestão de frota da Companhia</v>
          </cell>
          <cell r="F50" t="str">
            <v xml:space="preserve">Pregão Eletrônico n.° 025/2022-PRE/CAEMA, Ata de Registro de Preço n° 045/2022 - CAEMA </v>
          </cell>
          <cell r="G50" t="str">
            <v>34.540.071/0001-07</v>
          </cell>
          <cell r="H50" t="str">
            <v>Portaria 289/2025</v>
          </cell>
          <cell r="I50" t="str">
            <v>Adonias Lima Coelho</v>
          </cell>
          <cell r="J50" t="str">
            <v>Jurandir Pereira da Silva</v>
          </cell>
          <cell r="K50">
            <v>45568</v>
          </cell>
          <cell r="L50">
            <v>45933</v>
          </cell>
          <cell r="M50" t="e">
            <v>#NUM!</v>
          </cell>
        </row>
        <row r="51">
          <cell r="A51" t="str">
            <v>005/2024</v>
          </cell>
          <cell r="B51">
            <v>2200000</v>
          </cell>
          <cell r="C51" t="str">
            <v>DE</v>
          </cell>
          <cell r="D51" t="str">
            <v>PESE - PERFURAÇÕES GE POÇOS E SERVIÇOS LTDA</v>
          </cell>
          <cell r="E51" t="str">
            <v>Serviços de engenharia e hidrogeologia para manutenção de poços tubulares profundos do Sistema  eAbastecimento de Àgua Paciência I e II</v>
          </cell>
          <cell r="F51" t="str">
            <v>PREGÃO ELETRÔNICO 022/2023</v>
          </cell>
          <cell r="G51" t="str">
            <v>02279005000120</v>
          </cell>
          <cell r="H51" t="str">
            <v>Portaria 204/2024</v>
          </cell>
          <cell r="I51" t="str">
            <v>Elio Ataídes Cavalcante</v>
          </cell>
          <cell r="J51" t="str">
            <v>Daiane Volff Ferreira</v>
          </cell>
          <cell r="K51">
            <v>45569</v>
          </cell>
          <cell r="L51">
            <v>45934</v>
          </cell>
          <cell r="M51" t="e">
            <v>#NUM!</v>
          </cell>
        </row>
        <row r="52">
          <cell r="A52" t="str">
            <v>012/2024</v>
          </cell>
          <cell r="B52">
            <v>581160.66</v>
          </cell>
          <cell r="C52" t="str">
            <v>DE</v>
          </cell>
          <cell r="D52" t="str">
            <v>PESE - PERFURAÇÕES GE POÇOS E SERVIÇOS LTDA SANTA LUZIA</v>
          </cell>
          <cell r="E52" t="str">
            <v xml:space="preserve">Execução dos serviços de perfuração de 01 (um) poço tubular profundo, no município de Santa Inds/MA: 8`` X 150 M. </v>
          </cell>
          <cell r="F52" t="str">
            <v>PREGÃO ELETRÔNICO 053/2022 ARP 002/2023 - CAEMA</v>
          </cell>
          <cell r="G52" t="str">
            <v xml:space="preserve">02279005000120 </v>
          </cell>
          <cell r="H52" t="str">
            <v>Portaria 208/2024</v>
          </cell>
          <cell r="I52" t="str">
            <v>Elio Ataídes Cavalcante</v>
          </cell>
          <cell r="J52" t="str">
            <v>Daiane Volff Ferreira</v>
          </cell>
          <cell r="K52">
            <v>45570</v>
          </cell>
          <cell r="L52">
            <v>45935</v>
          </cell>
          <cell r="M52" t="e">
            <v>#NUM!</v>
          </cell>
        </row>
        <row r="53">
          <cell r="A53" t="str">
            <v>061/2021</v>
          </cell>
          <cell r="B53">
            <v>10959917.699999999</v>
          </cell>
          <cell r="C53" t="str">
            <v>DO</v>
          </cell>
          <cell r="D53" t="str">
            <v>PONTO FORTE CONSTRUÇÕES LTDA</v>
          </cell>
          <cell r="E53" t="str">
            <v>Contratação de empresa para prestação de serviços comuns de engenharia de manutenção de redes  coletoras de esgotos da CAEMA da cidade de São Luís MA- Lote 01</v>
          </cell>
          <cell r="F53" t="str">
            <v>Pregão Eletrõnico nº 008/2021.</v>
          </cell>
          <cell r="G53" t="str">
            <v>01.958.324/0001-08</v>
          </cell>
          <cell r="H53" t="str">
            <v>portaria 437/2024</v>
          </cell>
          <cell r="I53" t="str">
            <v>Alain Gerard Lobato de Moura</v>
          </cell>
          <cell r="J53" t="str">
            <v>Luis Mauro Lima da Silva</v>
          </cell>
          <cell r="K53">
            <v>45571</v>
          </cell>
          <cell r="L53">
            <v>45936</v>
          </cell>
          <cell r="M53" t="e">
            <v>#NUM!</v>
          </cell>
        </row>
        <row r="54">
          <cell r="A54" t="str">
            <v>049/2024</v>
          </cell>
          <cell r="B54">
            <v>6449046.5700000003</v>
          </cell>
          <cell r="C54" t="str">
            <v>DO</v>
          </cell>
          <cell r="D54" t="str">
            <v xml:space="preserve">PONTO FORTE CONSTRUÇÕES E EMPREENDIMENTOS </v>
          </cell>
          <cell r="E54" t="str">
            <v>Prestação dos serviços de manutenção de redes coletoras de esgoto do interior da Companhia de Saneamento Ambiental do Maranhão – CAEMA. LOTE 01 - Barreirinhas – Sistema Público e Tutóia –Sistema Isolado</v>
          </cell>
          <cell r="F54" t="str">
            <v xml:space="preserve">LICITAÇÃO ELETRÔNICA Nº 014/2024 </v>
          </cell>
          <cell r="G54" t="str">
            <v>01.958.324/0001-08</v>
          </cell>
          <cell r="H54" t="str">
            <v>Portaria 328/2025</v>
          </cell>
          <cell r="I54" t="str">
            <v>Cleison Gomes de Sá</v>
          </cell>
          <cell r="J54" t="str">
            <v>Antonio Caldas Santos</v>
          </cell>
          <cell r="K54">
            <v>45572</v>
          </cell>
          <cell r="L54">
            <v>45937</v>
          </cell>
          <cell r="M54" t="e">
            <v>#NUM!</v>
          </cell>
        </row>
        <row r="55">
          <cell r="A55" t="str">
            <v>050/2024</v>
          </cell>
          <cell r="B55">
            <v>8909628.4900000002</v>
          </cell>
          <cell r="C55" t="str">
            <v>DO</v>
          </cell>
          <cell r="D55" t="str">
            <v xml:space="preserve">PONTO FORTE CONSTRUÇÕES E EMPREENDIMENTOS </v>
          </cell>
          <cell r="E55" t="str">
            <v>Prestação dos serviços de manutenção de redes coletoras de esgoto do interior da Companhia de Saneamento Ambiental do Maranhão – CAEMA. LOTE 02 – Itapecuru, Chapadinha, Vargem Grande e Coroatá.</v>
          </cell>
          <cell r="F55" t="str">
            <v xml:space="preserve">LICITAÇÃO ELETRÔNICA Nº 014/2024 </v>
          </cell>
          <cell r="G55" t="str">
            <v>01.958.324/0001-08</v>
          </cell>
          <cell r="H55" t="str">
            <v>Portaria 329/2025</v>
          </cell>
          <cell r="I55" t="str">
            <v>Luis Felipe Pontes Silva/ Denis Monteiro Nascimento Jr/ José de Lima da Cruz</v>
          </cell>
          <cell r="J55" t="str">
            <v>Raimundo Marcio Sousa Simoes/ Pedro Paulo Barbosa Nunes Sobrinho/ Francicos da Chagas Teixeira de Sousa</v>
          </cell>
          <cell r="K55">
            <v>45572</v>
          </cell>
          <cell r="L55">
            <v>45937</v>
          </cell>
          <cell r="M55" t="e">
            <v>#NUM!</v>
          </cell>
        </row>
        <row r="56">
          <cell r="A56" t="str">
            <v>051/2024</v>
          </cell>
          <cell r="B56">
            <v>2443137.9300000002</v>
          </cell>
          <cell r="C56" t="str">
            <v>DO</v>
          </cell>
          <cell r="D56" t="str">
            <v xml:space="preserve">PONTO FORTE CONSTRUÇÕES E EMPREENDIMENTOS </v>
          </cell>
          <cell r="E56" t="str">
            <v>Prestação dos serviços de manutenção de redes coletoras de esgoto do interior da Companhia de Saneamento Ambiental do Maranhão – CAEMA. LOTE 03 – BARRA DO CORDA</v>
          </cell>
          <cell r="F56" t="str">
            <v xml:space="preserve">LICITAÇÃO ELETRÔNICA Nº 014/2024 </v>
          </cell>
          <cell r="G56" t="str">
            <v>01.958.324/0001-08</v>
          </cell>
          <cell r="H56" t="str">
            <v>Portaria 330/2025</v>
          </cell>
          <cell r="I56" t="str">
            <v>José Fernando Castro Silva</v>
          </cell>
          <cell r="J56" t="str">
            <v>Francisco Ferreira Gomes Junior</v>
          </cell>
          <cell r="K56">
            <v>45572</v>
          </cell>
          <cell r="L56">
            <v>45937</v>
          </cell>
          <cell r="M56" t="e">
            <v>#NUM!</v>
          </cell>
        </row>
        <row r="57">
          <cell r="A57" t="str">
            <v>056/2024</v>
          </cell>
          <cell r="B57">
            <v>374332.1</v>
          </cell>
          <cell r="C57" t="str">
            <v>DG</v>
          </cell>
          <cell r="D57" t="str">
            <v xml:space="preserve">FUNDAÇÃO JOSUÉ MONTELO </v>
          </cell>
          <cell r="E57" t="str">
            <v>Contratação de instituição brasileira incumbida regimental ou estatutariamente da pesquisa, do ensino ou do desenvolvimento institucional, para apoio ao desenvolvimento institucional da CAEMA, por meio de projeto especifico que contempla a alocação de recursos tecnológicos, material permanente e pessoal qualificado na Area de saneamento ambiental, especificamente com a execução de um Projeto de Otimização dos Serviços de Abastecimento de Agua nos municípios do interior do estado do Maranhao.</v>
          </cell>
          <cell r="F57" t="str">
            <v>DISPENSA DE LICITAÇÃO
N° 027/2024</v>
          </cell>
          <cell r="G57" t="str">
            <v>01.441.372/0001-16</v>
          </cell>
          <cell r="H57" t="str">
            <v>Portaria 322/2025</v>
          </cell>
          <cell r="I57" t="str">
            <v>Adilon Arruda Leda Filho</v>
          </cell>
          <cell r="J57" t="str">
            <v>João Ricardo de Araujo Silva</v>
          </cell>
          <cell r="K57">
            <v>45575</v>
          </cell>
          <cell r="L57">
            <v>45940</v>
          </cell>
          <cell r="M57" t="e">
            <v>#NUM!</v>
          </cell>
        </row>
        <row r="58">
          <cell r="A58" t="str">
            <v>052/2024</v>
          </cell>
          <cell r="B58" t="str">
            <v>2.850.00,00</v>
          </cell>
          <cell r="C58" t="str">
            <v>DO</v>
          </cell>
          <cell r="D58" t="str">
            <v xml:space="preserve">PONTO FORTE CONSTRUÇÕES E EMPREENDIMENTOS </v>
          </cell>
          <cell r="E58" t="str">
            <v>Contratação de empresa especializada para execução de serviços de manutenção de redes, ramais prediais e pequenas ampliações de redes dos sistemas de abastecimento de água de São Luís/MA, da ÁREA DO VINHAIS. LOTE 01</v>
          </cell>
          <cell r="F58" t="str">
            <v xml:space="preserve">LICITAÇÃO ELETRÔNICA Nº 001/2024 </v>
          </cell>
          <cell r="G58" t="str">
            <v>01.958.324/0001-08</v>
          </cell>
          <cell r="K58">
            <v>45580</v>
          </cell>
          <cell r="L58">
            <v>45945</v>
          </cell>
          <cell r="M58" t="e">
            <v>#NUM!</v>
          </cell>
        </row>
        <row r="59">
          <cell r="A59" t="str">
            <v>053/2024</v>
          </cell>
          <cell r="B59">
            <v>2597000</v>
          </cell>
          <cell r="C59" t="str">
            <v>DO</v>
          </cell>
          <cell r="D59" t="str">
            <v xml:space="preserve">PONTO FORTE CONSTRUÇÕES E EMPREENDIMENTOS </v>
          </cell>
          <cell r="E59" t="str">
            <v>Contratação de empresa especializada para execução de serviços de manutenção de redes, ramais prediais e pequenas ampliações de redes dos sistemas de abastecimento de água de São Luís/MA, do ANJO DA GUARDA. LOTE 04</v>
          </cell>
          <cell r="F59" t="str">
            <v xml:space="preserve">LICITAÇÃO ELETRÔNICA Nº 001/2024 </v>
          </cell>
          <cell r="G59" t="str">
            <v>01.958.324/0001-08</v>
          </cell>
          <cell r="H59" t="str">
            <v>Portaria 097/2025</v>
          </cell>
          <cell r="I59" t="str">
            <v>Raimundo Nonato Ferreira Pinheiro</v>
          </cell>
          <cell r="J59" t="str">
            <v>Edvaldo dos Santos Everton</v>
          </cell>
          <cell r="K59">
            <v>45580</v>
          </cell>
          <cell r="L59">
            <v>45945</v>
          </cell>
          <cell r="M59" t="e">
            <v>#NUM!</v>
          </cell>
        </row>
        <row r="60">
          <cell r="A60" t="str">
            <v>054/2024</v>
          </cell>
          <cell r="B60">
            <v>2550000</v>
          </cell>
          <cell r="C60" t="str">
            <v>DO</v>
          </cell>
          <cell r="D60" t="str">
            <v xml:space="preserve">QUÂNTICA X CONSTRUÇÕES E COMÉRCIO LTDA </v>
          </cell>
          <cell r="E60" t="str">
            <v>Contratação de empresa especializada para execução de serviços de manutenção de redes, ramais prediais e pequenas ampliações de redes dos sistemas de abastecimento de água de São Luis/MA, do BAIRRO COHAB, LOTE 02.</v>
          </cell>
          <cell r="F60" t="str">
            <v xml:space="preserve">LICITAÇÃO ELETRÔNICA Nº 001/2024 </v>
          </cell>
          <cell r="G60" t="str">
            <v>10.935.566/0001-69</v>
          </cell>
          <cell r="H60" t="str">
            <v>Portaria 096/2025</v>
          </cell>
          <cell r="I60" t="str">
            <v>Raimundo Nonato Ferreira Pinheiro</v>
          </cell>
          <cell r="J60" t="str">
            <v>Railson Ferreira da Silva</v>
          </cell>
          <cell r="K60">
            <v>45580</v>
          </cell>
          <cell r="L60">
            <v>45945</v>
          </cell>
          <cell r="M60" t="e">
            <v>#NUM!</v>
          </cell>
        </row>
        <row r="61">
          <cell r="A61" t="str">
            <v>055/2024</v>
          </cell>
          <cell r="B61">
            <v>1890000</v>
          </cell>
          <cell r="C61" t="str">
            <v>DO</v>
          </cell>
          <cell r="D61" t="str">
            <v xml:space="preserve">QUÂNTICA X CONSTRUÇÕES E COMÉRCIO LTDA </v>
          </cell>
          <cell r="E61" t="str">
            <v>Contratação de empresa especializada para execução de serviços de manutenção de redes, ramais prediais e pequenas ampliações de redes dos sistemas de abastecimento de Agua de Sao Luis/MA, da CIDADE OPERARIA, LOTE 03.</v>
          </cell>
          <cell r="F61" t="str">
            <v xml:space="preserve">LICITAÇÃO ELETRÔNICA Nº 001/2024 </v>
          </cell>
          <cell r="G61" t="str">
            <v>10.935.566/0001-69</v>
          </cell>
          <cell r="H61" t="str">
            <v>Portaria 095/2025</v>
          </cell>
          <cell r="I61" t="str">
            <v>Raimundo Nonato Ferreira Pinheiro</v>
          </cell>
          <cell r="J61" t="str">
            <v>José da Conceição Nogueira Viana</v>
          </cell>
          <cell r="K61">
            <v>45580</v>
          </cell>
          <cell r="L61">
            <v>45945</v>
          </cell>
          <cell r="M61" t="e">
            <v>#NUM!</v>
          </cell>
        </row>
        <row r="62">
          <cell r="A62" t="str">
            <v>033/2025</v>
          </cell>
          <cell r="B62">
            <v>3599064</v>
          </cell>
          <cell r="C62" t="str">
            <v>DO</v>
          </cell>
          <cell r="D62" t="str">
            <v xml:space="preserve">SABARÁ QUIMICOS E INGREDIENTES </v>
          </cell>
          <cell r="E62" t="str">
            <v>Serviço de dosagem de cloro gasoso liquefeito, com fornecimento do produto, que deverá ser fornecido em cilindros com capacidade de 68 kg e 900 kg. Além disso, CONTRATADA será responsável pela logística de distribuição do produto entre as 40 instalações da companhia distribuídas no Estado, bem como pela manutenção (corretiva) dos sistemas de dosagem</v>
          </cell>
          <cell r="F62">
            <v>0</v>
          </cell>
          <cell r="G62" t="str">
            <v>12.884.672/0004-39</v>
          </cell>
          <cell r="K62">
            <v>45580</v>
          </cell>
          <cell r="L62">
            <v>45945</v>
          </cell>
          <cell r="M62" t="e">
            <v>#NUM!</v>
          </cell>
        </row>
        <row r="63">
          <cell r="A63" t="str">
            <v>034/2025</v>
          </cell>
          <cell r="B63">
            <v>765748.8</v>
          </cell>
          <cell r="C63" t="str">
            <v>DG</v>
          </cell>
          <cell r="D63" t="str">
            <v>LOCADORA SÃO LUÍS</v>
          </cell>
          <cell r="E63" t="str">
            <v>Contratação de empresa especializada na prestação dos serviços de locação de 20 Veículos tipo Pick-up Compacta e de 09 Veículos Tipo Hatch, sem motorista e sem combustível</v>
          </cell>
          <cell r="F63" t="str">
            <v>DISPENSA DE LICITAÇÃO</v>
          </cell>
          <cell r="G63" t="str">
            <v xml:space="preserve"> 01.870.297/0001-09</v>
          </cell>
          <cell r="H63" t="str">
            <v>Portaria 365/2025</v>
          </cell>
          <cell r="I63" t="str">
            <v>Adonias Lima Coelho</v>
          </cell>
          <cell r="J63" t="str">
            <v>Jurandir Pereira da Silva</v>
          </cell>
          <cell r="K63">
            <v>45578</v>
          </cell>
          <cell r="L63">
            <v>45943</v>
          </cell>
          <cell r="M63" t="e">
            <v>#NUM!</v>
          </cell>
          <cell r="S63">
            <v>45763</v>
          </cell>
        </row>
        <row r="64">
          <cell r="A64" t="str">
            <v>047/2024</v>
          </cell>
          <cell r="B64">
            <v>460063.6</v>
          </cell>
          <cell r="C64" t="str">
            <v>DE</v>
          </cell>
          <cell r="D64" t="str">
            <v xml:space="preserve">BATALHA CONSTRUÇÃO LTDA </v>
          </cell>
          <cell r="E64" t="str">
            <v>Execução de serviços comuns de engenharia para perfuração de 01 (um) poço tubular profundo no Bairro Ilha Bela – São Cristóvão, na Cidade de São Luís MA: 8” X 120M.</v>
          </cell>
          <cell r="F64" t="str">
            <v>PREGÃO ELETRÔNICO Nº 024/2023</v>
          </cell>
          <cell r="G64" t="str">
            <v>07.908.484/0001-10</v>
          </cell>
          <cell r="H64" t="str">
            <v>Portaria 567/2024</v>
          </cell>
          <cell r="I64" t="str">
            <v>Elio Ataídes Cavalcante</v>
          </cell>
          <cell r="J64" t="str">
            <v>Daiane Volff Ferreira</v>
          </cell>
          <cell r="K64">
            <v>45581</v>
          </cell>
          <cell r="L64">
            <v>45946</v>
          </cell>
          <cell r="M64" t="e">
            <v>#NUM!</v>
          </cell>
        </row>
        <row r="65">
          <cell r="A65" t="str">
            <v>063/2024</v>
          </cell>
          <cell r="B65">
            <v>4579944</v>
          </cell>
          <cell r="C65" t="str">
            <v>DE</v>
          </cell>
          <cell r="D65" t="str">
            <v xml:space="preserve">OMNIA CONSTRUÇÕES E COMÉRCIO LTDA </v>
          </cell>
          <cell r="E65" t="str">
            <v>Prestação de serviços de manutenção predial visando atender a Região Metropolitana, Gerência de Negócios de Pinheiro, Gerência de Negócios de Santa Inês, Gerência de Negócios de Itapecuru, Gerência de Negócios de Barreirinhas e Gerência de Negócios de Chapadinha.</v>
          </cell>
          <cell r="F65" t="str">
            <v>LICITAÇÃO ELETRÔNICA N° 005/2024</v>
          </cell>
          <cell r="G65" t="str">
            <v>36.739.095/0001-07</v>
          </cell>
          <cell r="H65" t="str">
            <v>Portaria 607/2024</v>
          </cell>
          <cell r="I65" t="str">
            <v>Elio Ataídes Cavalcante</v>
          </cell>
          <cell r="J65" t="str">
            <v>Gabriel Feres Moreira Lima</v>
          </cell>
          <cell r="K65">
            <v>45583</v>
          </cell>
          <cell r="L65">
            <v>45948</v>
          </cell>
          <cell r="M65" t="e">
            <v>#NUM!</v>
          </cell>
        </row>
        <row r="66">
          <cell r="A66" t="str">
            <v>064/2024</v>
          </cell>
          <cell r="B66">
            <v>2191805.14</v>
          </cell>
          <cell r="C66" t="str">
            <v>DE</v>
          </cell>
          <cell r="D66" t="str">
            <v xml:space="preserve">OMNIA CONSTRUÇÕES E COMÉRCIO LTDA </v>
          </cell>
          <cell r="E66" t="str">
            <v>Prestação de serviços de manutenção predial visando atender a Gerência de negócios de Imperatriz, Gerência de negócios de Pedreiras, Gerência de negócios de Presidente Dutra e Gerência de negócios de Colinas/MA.</v>
          </cell>
          <cell r="F66" t="str">
            <v>LICITAÇÃO ELETRÔNICA                             N° 006/2024</v>
          </cell>
          <cell r="G66" t="str">
            <v>36.739.095/0001- 07</v>
          </cell>
          <cell r="H66" t="str">
            <v>Portaria 051/2025</v>
          </cell>
          <cell r="I66" t="str">
            <v>Sandro Sávio Soares Fonseca</v>
          </cell>
          <cell r="J66" t="str">
            <v>George Carvalho Costa</v>
          </cell>
          <cell r="K66">
            <v>45584</v>
          </cell>
          <cell r="L66">
            <v>45949</v>
          </cell>
          <cell r="M66" t="e">
            <v>#NUM!</v>
          </cell>
        </row>
        <row r="67">
          <cell r="A67" t="str">
            <v>017/2025</v>
          </cell>
          <cell r="B67">
            <v>592882.14</v>
          </cell>
          <cell r="C67" t="str">
            <v>DE</v>
          </cell>
          <cell r="D67" t="str">
            <v>PALMARES CONSTRUÇÕES LTDA</v>
          </cell>
          <cell r="E67" t="str">
            <v>O objeto do presente Termo de Contrato é a perfuração de 01 (um) poço tubular, no Município de Conceição do Lago Acú/MA</v>
          </cell>
          <cell r="F67" t="str">
            <v xml:space="preserve">Pregão Eletrônico n.º 024/2023-PRE/CAEMA </v>
          </cell>
          <cell r="G67" t="str">
            <v>11.302.593/0001-67</v>
          </cell>
          <cell r="H67" t="str">
            <v>Portaria 205/2025</v>
          </cell>
          <cell r="I67" t="str">
            <v>Sandro Sávio Soares Fonseca</v>
          </cell>
          <cell r="J67" t="str">
            <v>Daiane Volff Ferreira</v>
          </cell>
          <cell r="K67">
            <v>45588</v>
          </cell>
          <cell r="L67">
            <v>45953</v>
          </cell>
          <cell r="M67" t="e">
            <v>#NUM!</v>
          </cell>
        </row>
        <row r="68">
          <cell r="A68" t="str">
            <v>018/2025</v>
          </cell>
          <cell r="B68">
            <v>522811.64</v>
          </cell>
          <cell r="C68" t="str">
            <v>DE</v>
          </cell>
          <cell r="D68" t="str">
            <v>HIDREL ENGENHARIA LTDA</v>
          </cell>
          <cell r="E68" t="str">
            <v>Perfuração de 01 (um) poço tubular profundo, no município de Fortuna/MA: 6`` x 250m</v>
          </cell>
          <cell r="F68" t="str">
            <v>Pregão Eletrônico N.º 024/2023-PRE/CAEMA</v>
          </cell>
          <cell r="G68" t="str">
            <v>73.864.233/0001-06</v>
          </cell>
          <cell r="H68" t="str">
            <v>Portaria 238/2025</v>
          </cell>
          <cell r="I68" t="str">
            <v>Sandro Sávio Soares Fonseca</v>
          </cell>
          <cell r="J68" t="str">
            <v>Daiane Volff Ferreira</v>
          </cell>
          <cell r="K68">
            <v>45588</v>
          </cell>
          <cell r="L68">
            <v>45953</v>
          </cell>
          <cell r="M68" t="e">
            <v>#NUM!</v>
          </cell>
        </row>
        <row r="69">
          <cell r="A69" t="str">
            <v>060/2024</v>
          </cell>
          <cell r="B69">
            <v>75000</v>
          </cell>
          <cell r="C69" t="str">
            <v>DG</v>
          </cell>
          <cell r="D69" t="str">
            <v>C.I. COMUNICAÇÃO &amp; INFORMAÇÃO LTDA</v>
          </cell>
          <cell r="E69" t="str">
            <v>Contratação de empresa especializada, para prestação de serviços de clipping e mensuração de mídia, de todos os assuntos que fizerem referência à Companhia de Saneamento Ambiental do Maranhão (CAEMA) nas cidades de São Luís, Imperatriz, Chapadinha, Pinheiro, Presidente Dutra e Santa Inês, no Estado do Maranhão.</v>
          </cell>
          <cell r="F69" t="str">
            <v>INEXIGIBILIDADE DE
LICITAÇÃO N° 012/2024</v>
          </cell>
          <cell r="G69" t="str">
            <v>07.461.897/0001-08</v>
          </cell>
          <cell r="K69">
            <v>45589</v>
          </cell>
          <cell r="L69">
            <v>45954</v>
          </cell>
          <cell r="M69" t="e">
            <v>#NUM!</v>
          </cell>
        </row>
        <row r="70">
          <cell r="A70" t="str">
            <v>055/2020</v>
          </cell>
          <cell r="B70">
            <v>756418.18</v>
          </cell>
          <cell r="C70" t="str">
            <v>DO</v>
          </cell>
          <cell r="D70" t="str">
            <v>SEABRA AUTOMAÇÃO INDUSTRIAL EIRELI</v>
          </cell>
          <cell r="E70" t="str">
            <v>Execução de serviços com fornecimento de materiais e componentes eletroeletrônicos para a implantação de sistema de telemetria e telecomando em unidades operacionais da CAEMA em São Luís</v>
          </cell>
          <cell r="F70" t="str">
            <v>Pregão Eletrônico 029/2020 CAEMA</v>
          </cell>
          <cell r="G70" t="str">
            <v>15.452.988/0001-05</v>
          </cell>
          <cell r="H70" t="str">
            <v>Portaria 199/2023</v>
          </cell>
          <cell r="I70" t="str">
            <v>Antonio Rafael de Oliveira Portelada</v>
          </cell>
          <cell r="J70" t="str">
            <v>Alex Nonato Barros Costa</v>
          </cell>
          <cell r="K70">
            <v>45590</v>
          </cell>
          <cell r="L70">
            <v>45955</v>
          </cell>
          <cell r="M70" t="e">
            <v>#NUM!</v>
          </cell>
        </row>
        <row r="71">
          <cell r="A71" t="str">
            <v>050/2020</v>
          </cell>
          <cell r="B71">
            <v>43982.879999999997</v>
          </cell>
          <cell r="C71" t="str">
            <v>DG</v>
          </cell>
          <cell r="D71" t="str">
            <v>C&amp;S VIGILÂNCIA E SEGURANÇA PATRIMONIAL EIRELI</v>
          </cell>
          <cell r="E71" t="str">
            <v>Contratação de empresa especializada em vigilância patrimonial e pessoal para a prestação de serviços de vigilância armada, para a Cidade de Imperatriz/MA</v>
          </cell>
          <cell r="F71" t="str">
            <v>Pregão Presencial Nº 014/2020 - PRE/CAEMA</v>
          </cell>
          <cell r="G71" t="str">
            <v>14.151.000/0002-88</v>
          </cell>
          <cell r="H71" t="str">
            <v>Portaria 290/2025</v>
          </cell>
          <cell r="I71" t="str">
            <v>Adonias Lima Coelho</v>
          </cell>
          <cell r="J71" t="str">
            <v>Abel Carlos Cavalcanti</v>
          </cell>
          <cell r="K71">
            <v>45590</v>
          </cell>
          <cell r="L71">
            <v>45955</v>
          </cell>
          <cell r="M71" t="e">
            <v>#NUM!</v>
          </cell>
        </row>
        <row r="72">
          <cell r="A72" t="str">
            <v>087/2023</v>
          </cell>
          <cell r="B72">
            <v>13200</v>
          </cell>
          <cell r="C72" t="str">
            <v>DG-LOCAÇÃO</v>
          </cell>
          <cell r="D72" t="str">
            <v>LETÁCIO DE SÁ COÊLHO (NOVA IORQUE)</v>
          </cell>
          <cell r="E72" t="str">
            <v>Locação do imóvel situado na Travessa da Rua Nova, s/n, Centro , no Município de Nova Iorque MA</v>
          </cell>
          <cell r="F72" t="str">
            <v>DISPENSA DE LICITAÇÃO N° 028/2023</v>
          </cell>
          <cell r="G72" t="str">
            <v>282.510.913-49</v>
          </cell>
          <cell r="K72">
            <v>45592</v>
          </cell>
          <cell r="L72">
            <v>45957</v>
          </cell>
          <cell r="M72" t="e">
            <v>#NUM!</v>
          </cell>
        </row>
        <row r="73">
          <cell r="A73" t="str">
            <v>036/2025</v>
          </cell>
          <cell r="B73">
            <v>55999.95</v>
          </cell>
          <cell r="C73" t="str">
            <v>DG</v>
          </cell>
          <cell r="D73" t="str">
            <v>CONTROLE SERVIÇOS E COMERCIO DE INFORMÁTICA</v>
          </cell>
          <cell r="E73" t="str">
            <v>Fornecimento com entrega de aparelhos de ar condicionado, conforme descrição e quantidade definidas na CLÁUSULA TERCEIRA, para atender às necessidades da Companhia de Saneamento Ambiental do Maranhão - CAEMA, conforme especificações e condições estabelecidas no Termo de Referência.</v>
          </cell>
          <cell r="F73" t="str">
            <v>Licitação Eletrônica n.º 035/2024-PRL/CAEMA</v>
          </cell>
          <cell r="G73" t="str">
            <v>10.592.584/0002-76</v>
          </cell>
          <cell r="H73" t="str">
            <v>Portaria 193/2025</v>
          </cell>
          <cell r="I73" t="str">
            <v>Edjunior de Abreu Mendes</v>
          </cell>
          <cell r="J73" t="str">
            <v>Adonias Lima Coelho</v>
          </cell>
          <cell r="K73">
            <v>45592</v>
          </cell>
          <cell r="L73">
            <v>45957</v>
          </cell>
          <cell r="M73" t="e">
            <v>#NUM!</v>
          </cell>
        </row>
        <row r="74">
          <cell r="A74" t="str">
            <v>037/2025</v>
          </cell>
          <cell r="B74">
            <v>97488</v>
          </cell>
          <cell r="C74" t="str">
            <v>DG</v>
          </cell>
          <cell r="D74" t="str">
            <v>O MOVELEIRO CIA</v>
          </cell>
          <cell r="E74" t="str">
            <v>Fornecimento com entrega de aparelhos de ar condicionado, para atender às necessidades da Companhia de Saneamento Ambiental do Maranhão - CAEMA, conforme especificações e condições estabelecidas no Termo de Referência, Anexo I, do Edital da Licitação Eletrônica n° 035/2024 – PRL/CAEMA, ATA DE REGISTRO DE PREÇOS Nº 003/2025.</v>
          </cell>
          <cell r="F74" t="str">
            <v>Licitação Eletrônica n.º 035/2024-PRL/CAEMA</v>
          </cell>
          <cell r="G74" t="str">
            <v>08.773.990/0001-02</v>
          </cell>
          <cell r="K74">
            <v>45592</v>
          </cell>
          <cell r="L74">
            <v>45957</v>
          </cell>
          <cell r="M74" t="e">
            <v>#NUM!</v>
          </cell>
        </row>
        <row r="75">
          <cell r="A75" t="str">
            <v>038/2025</v>
          </cell>
          <cell r="B75">
            <v>140510.5</v>
          </cell>
          <cell r="C75" t="str">
            <v>DG</v>
          </cell>
          <cell r="D75" t="str">
            <v>O.C. ARAUJO JM MULTIMAR LTDA</v>
          </cell>
          <cell r="E75" t="str">
            <v>Fornecimento com entrega de aparelhos de ar condicionado, conforme descrição e quantidade definidas na CLÁUSULA TERCEIRA, para atender às necessidades da Companhia de Saneamento Ambiental do Maranhão - CAEMA.</v>
          </cell>
          <cell r="F75" t="str">
            <v>Licitação Eletrônica n.º 035/2024-PRL/CAEMA</v>
          </cell>
          <cell r="G75" t="str">
            <v>28.489.248/0001-87</v>
          </cell>
          <cell r="K75">
            <v>45592</v>
          </cell>
          <cell r="L75">
            <v>45957</v>
          </cell>
          <cell r="M75" t="e">
            <v>#NUM!</v>
          </cell>
        </row>
        <row r="76">
          <cell r="A76" t="str">
            <v>035/2025</v>
          </cell>
          <cell r="B76">
            <v>84500</v>
          </cell>
          <cell r="C76" t="str">
            <v>DG</v>
          </cell>
          <cell r="D76" t="str">
            <v>M FELIPE GALVÃO LTDA</v>
          </cell>
          <cell r="E76" t="str">
            <v>Fornecimento com entrega de 10 (dez) aparelhos de ar condicionado, conforme descrição e quantidade definidas na CLÁUSULA TERCEIRA, para atender às necessidades da Companhia de Saneamento Ambiental do Maranhão - CAEMA.</v>
          </cell>
          <cell r="F76" t="str">
            <v>Licitação Eletrônica n.º 035/2024-PRL/CAEMA</v>
          </cell>
          <cell r="G76" t="str">
            <v>24.183.988/0001-30</v>
          </cell>
          <cell r="K76">
            <v>45593</v>
          </cell>
          <cell r="L76">
            <v>45958</v>
          </cell>
          <cell r="M76" t="e">
            <v>#NUM!</v>
          </cell>
        </row>
        <row r="77">
          <cell r="A77" t="str">
            <v>065/2024</v>
          </cell>
          <cell r="B77">
            <v>2899365.45</v>
          </cell>
          <cell r="C77" t="str">
            <v>DO</v>
          </cell>
          <cell r="D77" t="str">
            <v xml:space="preserve">3D SERVIÇOS AMBIENTAIS LTDA </v>
          </cell>
          <cell r="E77" t="str">
            <v>Contratação de empresa para a prestação de serviços comuns de engenharia de manutenção de redes coletoras de esgoto da Companhia de Saneamento Ambiental do Maranhão — CAEMA, na cidade de Imperatriz/MA, LOTE 02</v>
          </cell>
          <cell r="F77" t="str">
            <v>DISPENSA DE LICITAÇÃO POR REMANESCENTE
N° 031/2024</v>
          </cell>
          <cell r="G77" t="str">
            <v>63.444.715/0001-53</v>
          </cell>
          <cell r="K77">
            <v>45594</v>
          </cell>
          <cell r="L77">
            <v>45959</v>
          </cell>
          <cell r="M77" t="e">
            <v>#NUM!</v>
          </cell>
        </row>
        <row r="78">
          <cell r="A78" t="str">
            <v>002/2025</v>
          </cell>
          <cell r="B78">
            <v>1538218.15</v>
          </cell>
          <cell r="C78" t="str">
            <v>DE</v>
          </cell>
          <cell r="D78" t="str">
            <v>HIDREL ENGENHARIA LTDA</v>
          </cell>
          <cell r="E78" t="str">
            <v>Perfuração de 02 (dois) poços tubulares profundos, nos Municípios de Presidente Dutra e Pedreiras/MA.</v>
          </cell>
          <cell r="F78" t="str">
            <v>PREGÃO ELETRÔNICO
N° 024/2023</v>
          </cell>
          <cell r="G78" t="str">
            <v>73.864.233/0001-06</v>
          </cell>
          <cell r="H78" t="str">
            <v>Portaria 067/2025</v>
          </cell>
          <cell r="I78" t="str">
            <v>Sandro Sávio Soares Fonseca</v>
          </cell>
          <cell r="J78" t="str">
            <v>Daiane Volff Ferreira</v>
          </cell>
          <cell r="K78">
            <v>45594</v>
          </cell>
          <cell r="L78">
            <v>45959</v>
          </cell>
          <cell r="M78" t="e">
            <v>#NUM!</v>
          </cell>
        </row>
        <row r="79">
          <cell r="A79" t="str">
            <v>105/2023</v>
          </cell>
          <cell r="B79">
            <v>155889.01999999999</v>
          </cell>
          <cell r="C79" t="str">
            <v>DG</v>
          </cell>
          <cell r="D79" t="str">
            <v>CSF SERVIÇOS DIGITAIS LTDA</v>
          </cell>
          <cell r="E79" t="str">
            <v xml:space="preserve">Locação de impressoras e multifuncionais </v>
          </cell>
          <cell r="F79" t="str">
            <v>PREGÃO ELETRONICO 011/2023</v>
          </cell>
          <cell r="G79">
            <v>8953969000199</v>
          </cell>
          <cell r="H79" t="str">
            <v>Portaria 176/2024</v>
          </cell>
          <cell r="I79" t="str">
            <v>Talyane Andrade de Matos</v>
          </cell>
          <cell r="J79" t="str">
            <v>Edjunior de Abreu Mendes</v>
          </cell>
          <cell r="K79">
            <v>45596</v>
          </cell>
          <cell r="L79">
            <v>45961</v>
          </cell>
          <cell r="M79" t="e">
            <v>#NUM!</v>
          </cell>
        </row>
        <row r="80">
          <cell r="A80" t="str">
            <v>106/2023</v>
          </cell>
          <cell r="B80">
            <v>89592.54</v>
          </cell>
          <cell r="C80" t="str">
            <v>DG</v>
          </cell>
          <cell r="D80" t="str">
            <v>FATOR COMÉRCIO E SERVIÇOS LTDA</v>
          </cell>
          <cell r="E80" t="str">
            <v xml:space="preserve">Locação de impressoras e multifuncionais através de solução de impressão departamental </v>
          </cell>
          <cell r="F80" t="str">
            <v>PREGÃO ELETRONICO 011/2023</v>
          </cell>
          <cell r="G80" t="str">
            <v>10.476.972/0001-00</v>
          </cell>
          <cell r="K80">
            <v>45596</v>
          </cell>
          <cell r="L80">
            <v>45961</v>
          </cell>
          <cell r="M80" t="e">
            <v>#NUM!</v>
          </cell>
        </row>
        <row r="81">
          <cell r="A81" t="str">
            <v>001/2025</v>
          </cell>
          <cell r="B81">
            <v>389068.84</v>
          </cell>
          <cell r="C81" t="str">
            <v>DE</v>
          </cell>
          <cell r="D81" t="str">
            <v>PALMARES CONSTRUÇÕES LTDA</v>
          </cell>
          <cell r="E81" t="str">
            <v>Execução dos serviços específicos de engenharia e hidrogeologia, para perfuração de 01 (um) poço tubular profundo no Sistema de Abastecimento do Município de Mata Roma/MA, pertencente à Gerência de Chapadinha/MA (Lote 02).</v>
          </cell>
          <cell r="F81" t="str">
            <v>PREGÃO ELETRÔNICO Nº 024/2023 - PRE/CAEMA- ARP n° 020/2023-CAEMA</v>
          </cell>
          <cell r="G81" t="str">
            <v>11.302.593/0001-67</v>
          </cell>
          <cell r="K81">
            <v>45602</v>
          </cell>
          <cell r="L81">
            <v>45967</v>
          </cell>
          <cell r="M81" t="e">
            <v>#NUM!</v>
          </cell>
        </row>
        <row r="82">
          <cell r="A82" t="str">
            <v>039/2025</v>
          </cell>
          <cell r="B82">
            <v>56890</v>
          </cell>
          <cell r="C82" t="str">
            <v>DG</v>
          </cell>
          <cell r="D82" t="str">
            <v>AGASERV COMÉRCIO E ASSISTÊNCIA TÉCNICA EIRELI</v>
          </cell>
          <cell r="E82" t="str">
            <v>Fornecimento com entrega de aparelhos de 10 (dez) aparelhos de ar condicionado</v>
          </cell>
          <cell r="F82" t="str">
            <v>Licitação Eletrônica n.º 035/2024-PRL/CAEMA</v>
          </cell>
          <cell r="G82" t="str">
            <v>77.853.083/0003-58</v>
          </cell>
          <cell r="K82">
            <v>45602</v>
          </cell>
          <cell r="L82">
            <v>45967</v>
          </cell>
          <cell r="M82" t="e">
            <v>#NUM!</v>
          </cell>
        </row>
        <row r="83">
          <cell r="A83" t="str">
            <v>088/2023</v>
          </cell>
          <cell r="B83">
            <v>14640</v>
          </cell>
          <cell r="C83" t="str">
            <v>DG-LOCAÇÃO</v>
          </cell>
          <cell r="D83" t="str">
            <v>JOSÉ CARLOS PONTES (BENEDITO LEITE)</v>
          </cell>
          <cell r="E83" t="str">
            <v>Locação do imóvel situado na Rua Getúlio Vargas, s/n, centro, no Município de Benedito Leite/MA, para funcionamento do Escritório Local nesse Município</v>
          </cell>
          <cell r="F83" t="str">
            <v>DISPENSA DE LICITAÇÃO N° 029/2023</v>
          </cell>
          <cell r="G83" t="str">
            <v>151.807.351-49</v>
          </cell>
          <cell r="K83">
            <v>45604</v>
          </cell>
          <cell r="L83">
            <v>45969</v>
          </cell>
          <cell r="M83" t="e">
            <v>#NUM!</v>
          </cell>
        </row>
        <row r="84">
          <cell r="A84" t="str">
            <v>068/2024</v>
          </cell>
          <cell r="B84">
            <v>1050800</v>
          </cell>
          <cell r="C84" t="str">
            <v>DO</v>
          </cell>
          <cell r="D84" t="str">
            <v xml:space="preserve">SANEMAR LTDA </v>
          </cell>
          <cell r="E84" t="str">
            <v>Fornecimento com entrega de 710.000 kg (setecentos e dez mil quilos) de CAL HIDRATADA (hidróxido de cálcio) para uso como auxiliar de coagulação no tratamento de água, destinada ao consumo humano, dos Sistemas de Abastecimento de Água de São Luís e do Interior do Estado do Maranhão, operados pela Companhia de Saneamento Ambiental do Maranhão – CAEMA.</v>
          </cell>
          <cell r="F84" t="str">
            <v>LICITAÇÃO ELETRÔNICA
 N° 016/2024</v>
          </cell>
          <cell r="G84" t="str">
            <v>10.340.491/0001-73</v>
          </cell>
          <cell r="K84">
            <v>45604</v>
          </cell>
          <cell r="L84">
            <v>45969</v>
          </cell>
          <cell r="M84" t="e">
            <v>#NUM!</v>
          </cell>
        </row>
        <row r="85">
          <cell r="A85" t="str">
            <v>069/2024</v>
          </cell>
          <cell r="B85">
            <v>2779954.36</v>
          </cell>
          <cell r="C85" t="str">
            <v>DO</v>
          </cell>
          <cell r="D85" t="str">
            <v xml:space="preserve">PONTO FORTE CONSTRUÇÕES E EMPREENDIMENTOS </v>
          </cell>
          <cell r="E85" t="str">
            <v>Contratação de empresa especializada para execução de serviços de manutenção de redes, ramais prediais e pequenas ampliações de redes dos sistemas de abastecimento de água da região do Centro de São Luís/MA.</v>
          </cell>
          <cell r="F85" t="str">
            <v>LICITAÇÃO ELETRÔNICA
 N° 022/2024</v>
          </cell>
          <cell r="G85" t="str">
            <v>01.958.324/0001-08</v>
          </cell>
          <cell r="K85">
            <v>45604</v>
          </cell>
          <cell r="L85">
            <v>45969</v>
          </cell>
          <cell r="M85" t="e">
            <v>#NUM!</v>
          </cell>
        </row>
        <row r="86">
          <cell r="A86" t="str">
            <v>071/2024</v>
          </cell>
          <cell r="B86">
            <v>50000</v>
          </cell>
          <cell r="C86" t="str">
            <v>DG</v>
          </cell>
          <cell r="D86" t="str">
            <v xml:space="preserve">F E DOS SANTOS COMÉRCIO LTDA </v>
          </cell>
          <cell r="E86" t="str">
            <v xml:space="preserve">Contratação de empresa especializada para a prestação de serviços gráficos diversos.
</v>
          </cell>
          <cell r="F86" t="str">
            <v>DISPENSA DE LICITAÇÃO
N° 036/2024</v>
          </cell>
          <cell r="G86" t="str">
            <v>06.315.506/0001-76</v>
          </cell>
          <cell r="K86">
            <v>45609</v>
          </cell>
          <cell r="L86">
            <v>45974</v>
          </cell>
          <cell r="M86" t="e">
            <v>#NUM!</v>
          </cell>
        </row>
        <row r="87">
          <cell r="A87" t="str">
            <v>093/2022</v>
          </cell>
          <cell r="B87">
            <v>81614.12</v>
          </cell>
          <cell r="C87" t="str">
            <v>DO</v>
          </cell>
          <cell r="D87" t="str">
            <v>AP ENGETECH LTDA</v>
          </cell>
          <cell r="E87" t="str">
            <v>Serviços técnicos eventuais SOB DEMANDA de manutenção elétrica corretiva em subestações aéreas até 300 kVA, entrada de energia, ramal de ligação de Subestações Abrigadas e em Redes de Distribuição de Energia Elétrica até 15 kV, instaladas nas diversas Unidades Operacionais da CAEMA</v>
          </cell>
          <cell r="F87" t="str">
            <v>Pregão Eletrônico 044/2022/PRE-CAEMA- PE0442022</v>
          </cell>
          <cell r="G87" t="str">
            <v>12.769.072/0001-87</v>
          </cell>
          <cell r="K87">
            <v>45616</v>
          </cell>
          <cell r="L87">
            <v>45981</v>
          </cell>
          <cell r="M87" t="e">
            <v>#NUM!</v>
          </cell>
        </row>
        <row r="88">
          <cell r="A88" t="str">
            <v>079/2021</v>
          </cell>
          <cell r="B88">
            <v>850000</v>
          </cell>
          <cell r="C88" t="str">
            <v>DC</v>
          </cell>
          <cell r="D88" t="str">
            <v>SERASA</v>
          </cell>
          <cell r="E88" t="str">
            <v>Contratação de empresa para prestação de serviços continuados de inclusão deregistro de pessoa física e/ou juridica no serviço de proteção ao crédito.</v>
          </cell>
          <cell r="F88" t="str">
            <v>Pregão Eletrônico nº 039/2021</v>
          </cell>
          <cell r="G88" t="str">
            <v>62.173.620/0001-80</v>
          </cell>
          <cell r="K88">
            <v>45617</v>
          </cell>
          <cell r="L88">
            <v>45982</v>
          </cell>
          <cell r="M88" t="e">
            <v>#NUM!</v>
          </cell>
        </row>
        <row r="89">
          <cell r="A89" t="str">
            <v>043/2025</v>
          </cell>
          <cell r="B89">
            <v>53757.21</v>
          </cell>
          <cell r="C89" t="str">
            <v>DG</v>
          </cell>
          <cell r="D89" t="str">
            <v>CONTROLE SERVIÇOS E COMERCIO DE INFORMÁRICA</v>
          </cell>
          <cell r="E89" t="str">
            <v>Fornecimento com entrega de equipamentos de informática.</v>
          </cell>
          <cell r="F89" t="str">
            <v>Licitação Eletrônica n.º 030/2024-PRL/CAEMA</v>
          </cell>
          <cell r="G89" t="str">
            <v>10.592.584/0002-76</v>
          </cell>
          <cell r="K89">
            <v>45617</v>
          </cell>
          <cell r="L89">
            <v>45982</v>
          </cell>
          <cell r="M89" t="e">
            <v>#NUM!</v>
          </cell>
        </row>
        <row r="90">
          <cell r="A90" t="str">
            <v>093/2021</v>
          </cell>
          <cell r="B90">
            <v>309098.40999999997</v>
          </cell>
          <cell r="C90" t="str">
            <v>PR</v>
          </cell>
          <cell r="D90" t="str">
            <v>CHAGAS E RODRIGUES SÁ ADVOCACIA</v>
          </cell>
          <cell r="E90" t="str">
            <v xml:space="preserve"> Contratação de empresa especializada na prestação de contratação dos serviços técnicos especializados de consultoria jurídica administrativa e contenciosa na área de direito ambiental, perante todas as instâncias possíveis do Poder Judiciário, a serem prestados por sociedade de advogados para a Companhia de Saneamento Ambiental do Maranhão, e Superiores.</v>
          </cell>
          <cell r="F90" t="str">
            <v>Pregão Eletrônico nº 001/2021</v>
          </cell>
          <cell r="G90" t="str">
            <v>038.182.248/0001-93</v>
          </cell>
          <cell r="K90">
            <v>45618</v>
          </cell>
          <cell r="L90">
            <v>45983</v>
          </cell>
          <cell r="M90" t="e">
            <v>#NUM!</v>
          </cell>
        </row>
        <row r="91">
          <cell r="A91" t="str">
            <v>094/2022</v>
          </cell>
          <cell r="B91">
            <v>4508.8599999999997</v>
          </cell>
          <cell r="C91" t="str">
            <v>DG-LOCAÇÃO</v>
          </cell>
          <cell r="D91" t="str">
            <v>CONCEIÇÃO DE MARIA BASBOSA DE FREITAS (GOV. LUIZ ROCHA)</v>
          </cell>
          <cell r="E91" t="str">
            <v xml:space="preserve">Locação de imóvel para funcionamento do escritório local de Governador Luiz Rocha </v>
          </cell>
          <cell r="F91" t="str">
            <v>Dispensa de Licitação nº 012/2022</v>
          </cell>
          <cell r="G91" t="str">
            <v>977.630.203-34</v>
          </cell>
          <cell r="K91">
            <v>45619</v>
          </cell>
          <cell r="L91">
            <v>45984</v>
          </cell>
          <cell r="M91" t="e">
            <v>#NUM!</v>
          </cell>
        </row>
        <row r="92">
          <cell r="A92" t="str">
            <v>044/2025</v>
          </cell>
          <cell r="B92">
            <v>6441653</v>
          </cell>
          <cell r="C92" t="str">
            <v>DE</v>
          </cell>
          <cell r="D92" t="str">
            <v>CAP - PROTENSÃO E CONSTRUÇÕES LTDA</v>
          </cell>
          <cell r="E92" t="str">
            <v>O presente Contrato tem por objeto a contratação de empresa especializada em recuperação de reservatórios, recuperação de ETAS e execução de serviços complementares visando atender à gerência de negócios de Imperatriz, gerência de negócios de Pedreiras, gerência de negócios de presidente Dutra, gerência de negócios de Colinas e gerência de Barreirinhas.</v>
          </cell>
          <cell r="F92" t="str">
            <v>Licitação Eletrônica n. º 034/2024-PRL/CAEMA</v>
          </cell>
          <cell r="G92" t="str">
            <v xml:space="preserve"> 09.624.532/0001-74</v>
          </cell>
          <cell r="K92">
            <v>45622</v>
          </cell>
          <cell r="L92">
            <v>45987</v>
          </cell>
          <cell r="M92">
            <v>1</v>
          </cell>
        </row>
        <row r="93">
          <cell r="A93" t="str">
            <v>056/2020</v>
          </cell>
          <cell r="B93">
            <v>339956.34</v>
          </cell>
          <cell r="C93" t="str">
            <v>DO</v>
          </cell>
          <cell r="D93" t="str">
            <v>PONTO FORTE CONSTRUÇÕES &amp; EMPREENDIMENTOS</v>
          </cell>
          <cell r="E93" t="str">
            <v>Execução de serviços de coleta, análises físico-químicas e bacteriológicas da água dos sistemas de abastecimento de água operados pela CAEMA</v>
          </cell>
          <cell r="F93" t="str">
            <v>PREGÃO ELETRÔNICO Nº 027/2020
PRE/CAEMA</v>
          </cell>
          <cell r="G93" t="str">
            <v>01.958.324/0001-08</v>
          </cell>
          <cell r="H93" t="str">
            <v>Portaria 255/2025</v>
          </cell>
          <cell r="I93" t="str">
            <v>Karines Gomes Ericeira</v>
          </cell>
          <cell r="J93" t="str">
            <v>Denis Monteiro do Nasc. Jr, Luis Felipe Pontes Silva, José Nilson Coelho Oliveira, Jackeline Cecilia Francos Goiabeira dentre outros...</v>
          </cell>
          <cell r="K93">
            <v>45623</v>
          </cell>
          <cell r="L93">
            <v>45988</v>
          </cell>
          <cell r="M93">
            <v>2</v>
          </cell>
        </row>
        <row r="94">
          <cell r="A94" t="str">
            <v>073/2024</v>
          </cell>
          <cell r="B94">
            <v>245046.6</v>
          </cell>
          <cell r="C94" t="str">
            <v>DG</v>
          </cell>
          <cell r="D94" t="str">
            <v xml:space="preserve">ATLANTA TURISMO LTDA </v>
          </cell>
          <cell r="E94" t="str">
            <v>Contratação de empresa especializada para reserva, emissão, marcação, remarcação e fornecimento de passagens aéreas nacionais, para atender às necessidades da Companhia de Saneamento Ambiental do Maranhão- CAEMA.</v>
          </cell>
          <cell r="F94" t="str">
            <v>LICITAÇÃO ELETRÔNICA
N° 018/2024</v>
          </cell>
          <cell r="G94" t="str">
            <v>08.022.073/0001-96</v>
          </cell>
          <cell r="K94">
            <v>45625</v>
          </cell>
          <cell r="L94">
            <v>45990</v>
          </cell>
          <cell r="M94">
            <v>4</v>
          </cell>
        </row>
        <row r="95">
          <cell r="A95" t="str">
            <v>105/2022</v>
          </cell>
          <cell r="B95">
            <v>274645.17</v>
          </cell>
          <cell r="C95" t="str">
            <v>DG</v>
          </cell>
          <cell r="D95" t="str">
            <v>IPNET SERVIÇOS EM NUVEM E DESENVOLVIMENTO DE</v>
          </cell>
          <cell r="E95" t="str">
            <v>Contratação de solução integrada de comunicação corporativa baseada em computação em nuvem(Cloud Computing) incluindo suporte técnico, implantação e treinamento</v>
          </cell>
          <cell r="F95" t="str">
            <v>Adesão a ARP PL  n°039/2021 - BANESE</v>
          </cell>
          <cell r="G95" t="str">
            <v>32.578.382/0001-21</v>
          </cell>
          <cell r="K95">
            <v>45627</v>
          </cell>
          <cell r="L95">
            <v>45992</v>
          </cell>
          <cell r="M95">
            <v>6</v>
          </cell>
        </row>
        <row r="96">
          <cell r="A96" t="str">
            <v>096/2021</v>
          </cell>
          <cell r="B96">
            <v>9981.61</v>
          </cell>
          <cell r="C96" t="str">
            <v>DG-LOCAÇÃO</v>
          </cell>
          <cell r="D96" t="str">
            <v>JOSÉ OSMAR SILVA (VITÓRIA DO MEARIM)</v>
          </cell>
          <cell r="E96" t="str">
            <v>Contatatato de  locação de imóvel situado na Rua Urbano
Santos, N° 85 — Centro, Município de Vitoria do Mearim/MA, para funcionamento do Escritório Local, com sua vigência de 12 (doze) meses, contados a partir da assinatura do
contrato.</v>
          </cell>
          <cell r="F96" t="str">
            <v>Dispensa de Licitação</v>
          </cell>
          <cell r="G96" t="str">
            <v>158.005.123-53</v>
          </cell>
          <cell r="K96">
            <v>45631</v>
          </cell>
          <cell r="L96">
            <v>45996</v>
          </cell>
          <cell r="M96">
            <v>10</v>
          </cell>
        </row>
        <row r="97">
          <cell r="A97" t="str">
            <v>057/2020</v>
          </cell>
          <cell r="B97">
            <v>5276122.6399999997</v>
          </cell>
          <cell r="C97" t="str">
            <v>DC</v>
          </cell>
          <cell r="D97" t="str">
            <v>VIACOM NEXT GENERATION COMUNICAÇÃO LTDA -</v>
          </cell>
          <cell r="E97" t="str">
            <v>Contratação de empresa especializada na prestação de serviços de planejamento, desenvolvimento, implantação,customização, integração, operação e gestão para atendimento de consumidores em geral, com cobertura de toda a área de concessão da CAEMA, através do fornecimento de Call Center ativo e receptivo.</v>
          </cell>
          <cell r="F97" t="str">
            <v>PREGÃO ELETRÔNICO Nº 0025/2020 - PRE/CAEMA</v>
          </cell>
          <cell r="G97" t="str">
            <v>6.172.384/0001-06</v>
          </cell>
          <cell r="K97">
            <v>45632</v>
          </cell>
          <cell r="L97">
            <v>45997</v>
          </cell>
          <cell r="M97">
            <v>11</v>
          </cell>
        </row>
        <row r="98">
          <cell r="A98" t="str">
            <v>070/2024</v>
          </cell>
          <cell r="B98">
            <v>386395.29</v>
          </cell>
          <cell r="C98" t="str">
            <v>DE</v>
          </cell>
          <cell r="D98" t="str">
            <v xml:space="preserve">BATALHA CONSTRUÇÃO LTDA </v>
          </cell>
          <cell r="E98" t="str">
            <v xml:space="preserve">A perfuração de um poço tubular profundo na Comunidade Sarney Costa, na cidade de São Luís-MA. </v>
          </cell>
          <cell r="F98" t="str">
            <v xml:space="preserve">PREGÃO ELETRÔNICO
 Nº 024/2023 </v>
          </cell>
          <cell r="G98" t="str">
            <v>07.908.484/0001-10</v>
          </cell>
          <cell r="K98">
            <v>45634</v>
          </cell>
          <cell r="L98">
            <v>45999</v>
          </cell>
          <cell r="M98">
            <v>13</v>
          </cell>
        </row>
        <row r="99">
          <cell r="A99" t="str">
            <v>107/2023</v>
          </cell>
          <cell r="B99">
            <v>21375</v>
          </cell>
          <cell r="C99" t="str">
            <v>DG</v>
          </cell>
          <cell r="D99" t="str">
            <v>MASTERPONTO EQUIPAMENTOS E SISTEMAS LTDA</v>
          </cell>
          <cell r="E99" t="str">
            <v>Contratação de empresa especializada para prestação dos serviços de manutenção preventiva e corretiva dos relogios de ponto eletrônico.</v>
          </cell>
          <cell r="F99" t="str">
            <v>DISPENSA DE LICITAÇÃO N° 030/2023</v>
          </cell>
          <cell r="G99" t="str">
            <v>07.652.413/0001-08</v>
          </cell>
          <cell r="K99">
            <v>45639</v>
          </cell>
          <cell r="L99">
            <v>46004</v>
          </cell>
          <cell r="M99">
            <v>18</v>
          </cell>
        </row>
        <row r="100">
          <cell r="A100" t="str">
            <v>079/2024</v>
          </cell>
          <cell r="B100">
            <v>4500500.5</v>
          </cell>
          <cell r="C100" t="str">
            <v>DO</v>
          </cell>
          <cell r="D100" t="str">
            <v xml:space="preserve">DESTACK SERVIÇOS AMBIENTAIS </v>
          </cell>
          <cell r="E100"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01, CENTRO – SÃO LUÍS/MA</v>
          </cell>
          <cell r="F100" t="str">
            <v>LICITAÇÃO ELETRÔNICA
N° 021/2024</v>
          </cell>
          <cell r="G100" t="str">
            <v>23.682.131/0001-00</v>
          </cell>
          <cell r="K100">
            <v>45644</v>
          </cell>
          <cell r="L100">
            <v>46009</v>
          </cell>
          <cell r="M100">
            <v>23</v>
          </cell>
        </row>
        <row r="101">
          <cell r="A101" t="str">
            <v>080/2024</v>
          </cell>
          <cell r="B101">
            <v>3730000</v>
          </cell>
          <cell r="C101" t="str">
            <v>DO</v>
          </cell>
          <cell r="D101" t="str">
            <v xml:space="preserve">DESTACK SERVIÇOS AMBIENTAIS </v>
          </cell>
          <cell r="E101"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02 - DISTRITO VINHAIS.</v>
          </cell>
          <cell r="F101" t="str">
            <v>LICITAÇÃO ELETRÔNICA
N° 021/2024</v>
          </cell>
          <cell r="G101" t="str">
            <v>23.682.131/0001-00</v>
          </cell>
          <cell r="K101">
            <v>45644</v>
          </cell>
          <cell r="L101">
            <v>46009</v>
          </cell>
          <cell r="M101">
            <v>23</v>
          </cell>
        </row>
        <row r="102">
          <cell r="A102" t="str">
            <v>081/2024</v>
          </cell>
          <cell r="B102">
            <v>3407500</v>
          </cell>
          <cell r="C102" t="str">
            <v>DO</v>
          </cell>
          <cell r="D102" t="str">
            <v xml:space="preserve">DESTACK SERVIÇOS AMBIENTAIS </v>
          </cell>
          <cell r="E102"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03, DISTRITO COHAB.</v>
          </cell>
          <cell r="F102" t="str">
            <v>LICITAÇÃO ELETRÔNICA
N° 021/2024</v>
          </cell>
          <cell r="G102" t="str">
            <v>23.682.131/0001-00</v>
          </cell>
          <cell r="K102">
            <v>45644</v>
          </cell>
          <cell r="L102">
            <v>46009</v>
          </cell>
          <cell r="M102">
            <v>23</v>
          </cell>
        </row>
        <row r="103">
          <cell r="A103" t="str">
            <v>082/2024</v>
          </cell>
          <cell r="B103">
            <v>9445250.5</v>
          </cell>
          <cell r="C103" t="str">
            <v>DO</v>
          </cell>
          <cell r="D103" t="str">
            <v xml:space="preserve">DESTACK SERVIÇOS AMBIENTAIS </v>
          </cell>
          <cell r="E103" t="str">
            <v>Prestação de serviços contínuos de desobstrução e limpeza de redes coletoras, ramais prediais, interceptores, emissários por gravidade, poços de visita,caixas de inspeção, estações elevatórias e estações de tratamento de esgotos dos Sistemas de Esgotamento Sanitário operados pela CAEMA, LOTE 05, REGIÃO METROPOLITANA OCNE.</v>
          </cell>
          <cell r="F103" t="str">
            <v>LICITAÇÃO ELETRÔNICA
N° 021/2024</v>
          </cell>
          <cell r="G103" t="str">
            <v>23.682.131/0001-00</v>
          </cell>
          <cell r="K103">
            <v>45644</v>
          </cell>
          <cell r="L103">
            <v>46009</v>
          </cell>
          <cell r="M103">
            <v>23</v>
          </cell>
        </row>
        <row r="104">
          <cell r="A104" t="str">
            <v>083/2024</v>
          </cell>
          <cell r="B104">
            <v>3928450.5</v>
          </cell>
          <cell r="C104" t="str">
            <v>DO</v>
          </cell>
          <cell r="D104" t="str">
            <v xml:space="preserve">DESTACK SERVIÇOS AMBIENTAIS </v>
          </cell>
          <cell r="E104"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06, GERÊNCIA DE BARREIRINHAS/MA.</v>
          </cell>
          <cell r="F104" t="str">
            <v>LICITAÇÃO ELETRÔNICA
N° 021/2024</v>
          </cell>
          <cell r="G104" t="str">
            <v>23.682.131/0001-00</v>
          </cell>
          <cell r="K104">
            <v>45644</v>
          </cell>
          <cell r="L104">
            <v>46009</v>
          </cell>
          <cell r="M104">
            <v>23</v>
          </cell>
        </row>
        <row r="105">
          <cell r="A105" t="str">
            <v>042/2025</v>
          </cell>
          <cell r="B105">
            <v>255675.42</v>
          </cell>
          <cell r="C105" t="str">
            <v>DE</v>
          </cell>
          <cell r="D105" t="str">
            <v>TPF ENGENHARIA LTDA</v>
          </cell>
          <cell r="E105" t="str">
            <v>Contratação de empresa especializada para ELABORAÇÃO DE ESTUDOS DE CONCEPÇÃO, PROJETOS BÁSICO E EXECUTIVO PARA IMPLANTAÇÃO DE DESARENADOR (CAIXA DE AREIA) TIPO CANAL EM CONCRETO, FLUXO HORIZONTAL, DESTINADO A ATENDER A ESTAÇÃO ELEVATÓRIA DE ESGOTOS (EEE) PIMENTA (LOTE 1) E A ESTAÇÃO DE TRATAMENTO DE ESGOTOS (ETE) VINHAIS (LOTE 2).</v>
          </cell>
          <cell r="F105" t="str">
            <v>Licitação Eletrônica n. º 003/2025 - PRL/CAEMA</v>
          </cell>
          <cell r="G105" t="str">
            <v>12.285.441/0001-66</v>
          </cell>
          <cell r="K105">
            <v>45645</v>
          </cell>
          <cell r="L105">
            <v>46010</v>
          </cell>
          <cell r="M105">
            <v>24</v>
          </cell>
        </row>
        <row r="106">
          <cell r="A106" t="str">
            <v>078/2024</v>
          </cell>
          <cell r="B106">
            <v>47000</v>
          </cell>
          <cell r="C106" t="str">
            <v>DG</v>
          </cell>
          <cell r="D106" t="str">
            <v xml:space="preserve">APLEX DISTRIBUIDORA DE PRODUTOS DE TECNOLOGIA </v>
          </cell>
          <cell r="E106" t="str">
            <v>Contratação de empresa para a prestação de serviço comum, atinente ao fornecimento de 1000 (mil) licenças do Antivírus Kaspersky, para proteção das estações e servidores desta Companhia, com garantia de 01 ano.</v>
          </cell>
          <cell r="F106" t="str">
            <v>DISPENSA DE LICITAÇÃO
N° 039/2024</v>
          </cell>
          <cell r="G106" t="str">
            <v>24.413.094/0001-99</v>
          </cell>
          <cell r="K106">
            <v>45646</v>
          </cell>
          <cell r="L106">
            <v>46011</v>
          </cell>
          <cell r="M106">
            <v>25</v>
          </cell>
        </row>
        <row r="107">
          <cell r="A107" t="str">
            <v>108/2023</v>
          </cell>
          <cell r="B107">
            <v>622241.38</v>
          </cell>
          <cell r="C107" t="str">
            <v>DO</v>
          </cell>
          <cell r="D107" t="str">
            <v>BAUMINAS QUIMICA N-NE LTDA</v>
          </cell>
          <cell r="E107" t="str">
            <v>Aquisição de 160.000 kg sulfato de aluminio ferroso granulado para uso nos sistemas do Interior-MA</v>
          </cell>
          <cell r="F107" t="str">
            <v>PREGÃO ELETRONICO 068/2022</v>
          </cell>
          <cell r="G107">
            <v>23647365000701</v>
          </cell>
          <cell r="K107">
            <v>45647</v>
          </cell>
          <cell r="L107">
            <v>46012</v>
          </cell>
          <cell r="M107">
            <v>26</v>
          </cell>
        </row>
        <row r="108">
          <cell r="A108" t="str">
            <v>098/2023</v>
          </cell>
          <cell r="B108">
            <v>948090</v>
          </cell>
          <cell r="C108" t="str">
            <v>DC</v>
          </cell>
          <cell r="D108" t="str">
            <v>SETE OFFICE LTDA</v>
          </cell>
          <cell r="E108" t="str">
            <v xml:space="preserve"> Contratação de empresa especializada em produção gráfica de contas/faturas ou documentos similares para a notificação dos clientes da CAEMA</v>
          </cell>
          <cell r="F108" t="str">
            <v>PREGÃO ELETRONICO 019/2023</v>
          </cell>
          <cell r="G108">
            <v>26477376000185</v>
          </cell>
          <cell r="K108">
            <v>45649</v>
          </cell>
          <cell r="L108">
            <v>46014</v>
          </cell>
          <cell r="M108">
            <v>28</v>
          </cell>
        </row>
        <row r="109">
          <cell r="A109" t="str">
            <v>084/2024</v>
          </cell>
          <cell r="B109">
            <v>3457882.78</v>
          </cell>
          <cell r="C109" t="str">
            <v>DO</v>
          </cell>
          <cell r="D109" t="str">
            <v xml:space="preserve">GOLDMAN SOLUÇÕES EM SANEAMENTO LTDA </v>
          </cell>
          <cell r="E109"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04, DISTRITO CIDADE OPERÁRIA/MA</v>
          </cell>
          <cell r="F109" t="str">
            <v>LICITAÇÃO ELETRÔNICA
N° 021/2024</v>
          </cell>
          <cell r="G109" t="str">
            <v>17.405.787/0001-74</v>
          </cell>
          <cell r="K109">
            <v>45656</v>
          </cell>
          <cell r="L109">
            <v>46021</v>
          </cell>
          <cell r="M109">
            <v>35</v>
          </cell>
        </row>
        <row r="110">
          <cell r="A110" t="str">
            <v>066/2020</v>
          </cell>
          <cell r="B110">
            <v>268681.75</v>
          </cell>
          <cell r="C110" t="str">
            <v>DG</v>
          </cell>
          <cell r="D110" t="str">
            <v>HAPVIDA ASSISTÊNCIA MÉDICA LTDA</v>
          </cell>
          <cell r="E110" t="str">
            <v>A prestação de serviços de assistência odontológica, para atender aos empregados da CAEMA e dependentes, com cobertura eletiva, envolvendo todos os meios de diagnóstico e tratamento em São Luís e em 9 (nove) Gerencias regio-nais, de forma integral, através de rede própria e/ou credenciada, e de urgência e/ou emergência em todo território nacional</v>
          </cell>
          <cell r="F110" t="str">
            <v>PREGÃO ELETRÔNICO Nº 031/2020/PRE/CAEMA</v>
          </cell>
          <cell r="G110" t="str">
            <v>63.554.067/0001-98</v>
          </cell>
          <cell r="K110">
            <v>45662</v>
          </cell>
          <cell r="L110">
            <v>46027</v>
          </cell>
          <cell r="M110">
            <v>41</v>
          </cell>
        </row>
        <row r="111">
          <cell r="A111" t="str">
            <v>112/2023</v>
          </cell>
          <cell r="B111">
            <v>12960</v>
          </cell>
          <cell r="C111" t="str">
            <v>DO</v>
          </cell>
          <cell r="D111" t="str">
            <v>JOÃO LUIZ DE ARAUJO MOTA (SUCUPIRA DO RIACHÃO)</v>
          </cell>
          <cell r="E111" t="str">
            <v>A Locatária recebe  em locação o imóvel situado na rua Grande, N°537, Centro, no Município de Sucupira do Riachão/MA</v>
          </cell>
          <cell r="F111" t="str">
            <v>DISPENSA DE LICITAÇÃO N° 033/2023</v>
          </cell>
          <cell r="G111" t="str">
            <v>258.088.001.10</v>
          </cell>
          <cell r="K111">
            <v>45670</v>
          </cell>
          <cell r="L111">
            <v>46035</v>
          </cell>
          <cell r="M111">
            <v>49</v>
          </cell>
        </row>
        <row r="112">
          <cell r="A112" t="str">
            <v>022/2024</v>
          </cell>
          <cell r="B112">
            <v>17881.080000000002</v>
          </cell>
          <cell r="C112" t="str">
            <v>DO</v>
          </cell>
          <cell r="D112" t="str">
            <v xml:space="preserve">DINALAB COMÉRCIO E SERVIÇOS LTDA </v>
          </cell>
          <cell r="E112" t="str">
            <v>Aquisição de equipamentos, materiais e reagentes para uso no laboratório da Ete Vinhais, para realização do controle de qualidade dos efluentes das estações de tratamento de esgoto de São Luís e interior-MA</v>
          </cell>
          <cell r="F112" t="str">
            <v>PREGÃO ELETRÔNICO 040/2023</v>
          </cell>
          <cell r="G112" t="str">
            <v>32.578.926./0001-55</v>
          </cell>
          <cell r="K112">
            <v>45671</v>
          </cell>
          <cell r="L112">
            <v>46036</v>
          </cell>
          <cell r="M112">
            <v>50</v>
          </cell>
        </row>
        <row r="113">
          <cell r="A113" t="str">
            <v>044/2020</v>
          </cell>
          <cell r="B113">
            <v>37019851.390000001</v>
          </cell>
          <cell r="C113" t="str">
            <v>DG</v>
          </cell>
          <cell r="D113" t="str">
            <v>SODEXO PASS DO BRASIL SERVIÇOS E COMERCIO S.A</v>
          </cell>
          <cell r="E113" t="str">
            <v xml:space="preserve"> Contratação de empresa especializada na administração, gerenciamento, emissão, distribuição e fornecimento de Vale Alimentação e Vale Refeição</v>
          </cell>
          <cell r="F113" t="str">
            <v>Pregão Eletronicoº 024/2020 - PRE/CAEMA</v>
          </cell>
          <cell r="G113" t="str">
            <v>69.034.668/0001-56</v>
          </cell>
          <cell r="K113">
            <v>45675</v>
          </cell>
          <cell r="L113">
            <v>46040</v>
          </cell>
          <cell r="M113">
            <v>54</v>
          </cell>
        </row>
        <row r="114">
          <cell r="A114" t="str">
            <v>003/2025</v>
          </cell>
          <cell r="B114">
            <v>531600</v>
          </cell>
          <cell r="C114" t="str">
            <v>PR</v>
          </cell>
          <cell r="D114" t="str">
            <v>THIAGO DIAZ ADVOGADOS ASSOCIADOS</v>
          </cell>
          <cell r="E114" t="str">
            <v>Contratação de empresa especializada na prestação de
serviços técnicos especializados de consultoria jurídica preventiva, administrativa e
contenciosa nas áreas de direito civil, consumidor, administrativa, tributária, penal, societária e regulatória,
judiciais e extrajudiciais, perante todas as instâncias dos Tribunais Estaduais, Federais, e Superiores,
inclusive Juizados Especiais Cíveis e Criminais, a serem prestados por sociedade de advogados para a
Companhia de Saneamento Ambiental do Maranhão - CAEMA</v>
          </cell>
          <cell r="F114" t="str">
            <v>INEXIGIBILIDADE DE LICITAÇÃO
N° 001/2025</v>
          </cell>
          <cell r="G114" t="str">
            <v>26.617.793/0001-86</v>
          </cell>
          <cell r="K114">
            <v>45678</v>
          </cell>
          <cell r="L114">
            <v>46043</v>
          </cell>
          <cell r="M114">
            <v>57</v>
          </cell>
        </row>
        <row r="115">
          <cell r="A115" t="str">
            <v>001/2024</v>
          </cell>
          <cell r="B115">
            <v>97901.16</v>
          </cell>
          <cell r="C115" t="str">
            <v>DG</v>
          </cell>
          <cell r="D115" t="str">
            <v>EMPRESA METODO TELECOMUNICAÇÕES E COMÉRCIO LTDA</v>
          </cell>
          <cell r="E115" t="str">
            <v>Prestação de serviços de telefonia VOIP (PABX CLOUD)</v>
          </cell>
          <cell r="F115" t="str">
            <v>PREGÃO ELETRONICO 035/2023</v>
          </cell>
          <cell r="G115" t="str">
            <v>65295172000185</v>
          </cell>
          <cell r="K115">
            <v>45681</v>
          </cell>
          <cell r="L115">
            <v>46046</v>
          </cell>
          <cell r="M115">
            <v>60</v>
          </cell>
        </row>
        <row r="116">
          <cell r="A116" t="str">
            <v>001/2021</v>
          </cell>
          <cell r="B116">
            <v>864000</v>
          </cell>
          <cell r="C116" t="str">
            <v>DG</v>
          </cell>
          <cell r="D116" t="str">
            <v>SINDICATO DAS EMPRESAS DE TRANSPORTES - SET</v>
          </cell>
          <cell r="E116" t="str">
            <v xml:space="preserve">Contratação de empresa para prestação dos serviços de fornecimento de vale transporte eletrônico aos empregados pelo período de 12 (doze) meses, pelo valor estimado mensal R$ 85.746,70 (oitenta e inco mil setecentos e quarenta e seis reais e setenta centavos) e pelo valor anual R$ 1.028.960,40 (um milhão vinte e oito mil novecentos e sessenta reais e quarenta centavos). </v>
          </cell>
          <cell r="F116" t="str">
            <v>Inexigibilidade de Licitação</v>
          </cell>
          <cell r="G116" t="str">
            <v>05.750.146/0001-78</v>
          </cell>
          <cell r="K116">
            <v>45681</v>
          </cell>
          <cell r="L116">
            <v>46046</v>
          </cell>
          <cell r="M116">
            <v>60</v>
          </cell>
        </row>
        <row r="117">
          <cell r="A117" t="str">
            <v>006/2024</v>
          </cell>
          <cell r="B117">
            <v>1343496</v>
          </cell>
          <cell r="C117" t="str">
            <v>DG</v>
          </cell>
          <cell r="D117" t="str">
            <v>MARANHÃO PARCERIAS MAPA</v>
          </cell>
          <cell r="E117" t="str">
            <v xml:space="preserve">Gerenciamento de prestação dos serviços continuados de vigilância eletrônica monitorada à distância, em regime de comodato, contemplando o fornecimento de todos os equipamentos, materiais e mão de obra para a implantação/instalação, manutenção preventiva e corretiva e o monitoramento a distância
</v>
          </cell>
          <cell r="F117" t="str">
            <v xml:space="preserve">DISPENSA DE LICITAÇÃO  N° </v>
          </cell>
          <cell r="G117" t="str">
            <v>06281794000195</v>
          </cell>
          <cell r="K117">
            <v>45689</v>
          </cell>
          <cell r="L117">
            <v>46054</v>
          </cell>
          <cell r="M117">
            <v>68</v>
          </cell>
        </row>
        <row r="118">
          <cell r="A118" t="str">
            <v>102/2021</v>
          </cell>
          <cell r="B118">
            <v>2724973.16</v>
          </cell>
          <cell r="C118" t="str">
            <v>DO</v>
          </cell>
          <cell r="D118" t="str">
            <v>INNOVATIVE WATER CARE INDUSTRIA E COMÉRCIO</v>
          </cell>
          <cell r="E118" t="str">
            <v>Aquisição de Hipoclorito de Cálcio em Tablete e Hipoclorito de Cálcio Granulado, para uso como agente de desinfecção no processo de tratamento da água dos Poços Tubulares Profundos, destinada ao consumo humano e na desinfecção de ETA’s e Redes de Distribuição de Água, com fornecimento de equipamentos em regime de comodato.</v>
          </cell>
          <cell r="F118" t="str">
            <v>Pregão Eletrônico nº 078/2021</v>
          </cell>
          <cell r="G118" t="str">
            <v>43.677.178/0010-75</v>
          </cell>
          <cell r="K118">
            <v>45698</v>
          </cell>
          <cell r="L118">
            <v>46063</v>
          </cell>
          <cell r="M118">
            <v>77</v>
          </cell>
        </row>
        <row r="119">
          <cell r="A119" t="str">
            <v>010/2022</v>
          </cell>
          <cell r="B119">
            <v>3002752.69</v>
          </cell>
          <cell r="C119" t="str">
            <v>DO</v>
          </cell>
          <cell r="D119" t="str">
            <v>CIANO SOLUÇÕES AMBIENTAIS</v>
          </cell>
          <cell r="E119" t="str">
            <v>Contratação de empresa especializada para execução de serviços de coleta/retirada, transporte e destinação de lodo e materiais provenientes das estações de tratamento de esgoto – ETE’s – de São Luís/MA operadas pela Companhia de Saneamento Ambiental do Maranhão (CAEMA)</v>
          </cell>
          <cell r="F119" t="str">
            <v>Pregão Eletrônico nº 096/2021</v>
          </cell>
          <cell r="G119" t="str">
            <v>15.581.636/0002-22</v>
          </cell>
          <cell r="K119">
            <v>45701</v>
          </cell>
          <cell r="L119">
            <v>46066</v>
          </cell>
          <cell r="M119">
            <v>80</v>
          </cell>
        </row>
        <row r="120">
          <cell r="A120" t="str">
            <v>CV 001/2023</v>
          </cell>
          <cell r="C120" t="str">
            <v>DG</v>
          </cell>
          <cell r="D120" t="str">
            <v>SERVIÇO NACIONAL DE APREDIZAGEM INDUSTRIAL - SENAI</v>
          </cell>
          <cell r="E120" t="str">
            <v>Parceria entre a CAEMA e o SENAI para o desenvolvimento do Programa Jovem Aprendiz da CAEMA</v>
          </cell>
          <cell r="F120" t="str">
            <v>CONVÊNIO</v>
          </cell>
          <cell r="G120" t="str">
            <v>03.755.543/000179</v>
          </cell>
          <cell r="K120">
            <v>45703</v>
          </cell>
          <cell r="L120">
            <v>46068</v>
          </cell>
          <cell r="M120">
            <v>82</v>
          </cell>
        </row>
        <row r="121">
          <cell r="A121" t="str">
            <v>006/2021</v>
          </cell>
          <cell r="B121">
            <v>2902684.55</v>
          </cell>
          <cell r="C121" t="str">
            <v>DO</v>
          </cell>
          <cell r="D121" t="str">
            <v>MVDC EMPREENDIMENTOS LTDA</v>
          </cell>
          <cell r="E121" t="str">
            <v>Prestação de serviços comuns de engenharia de recuperação de pavimentação asfáltica em vias públicas na cidade de São Luis — MA</v>
          </cell>
          <cell r="F121" t="str">
            <v>Pregão Eletrônico nº 037/2020 - PRE/CAEMA</v>
          </cell>
          <cell r="G121" t="str">
            <v>6.746.084/0001-09</v>
          </cell>
          <cell r="K121">
            <v>45704</v>
          </cell>
          <cell r="L121">
            <v>46069</v>
          </cell>
          <cell r="M121">
            <v>83</v>
          </cell>
        </row>
        <row r="122">
          <cell r="A122" t="str">
            <v>040/2025</v>
          </cell>
          <cell r="B122">
            <v>635535.74</v>
          </cell>
          <cell r="C122" t="str">
            <v>DE</v>
          </cell>
          <cell r="D122" t="str">
            <v>HIDREL ENGENHARIA LTDA</v>
          </cell>
          <cell r="E122" t="str">
            <v>Perfuração de 01 (um) poço tubular profundo, no município de Paraibano/MA.</v>
          </cell>
          <cell r="F122" t="str">
            <v>Pregão Eletrônico N.º 024/2023-PRE/CAEMA</v>
          </cell>
          <cell r="G122" t="str">
            <v>73.864.233/0001-06</v>
          </cell>
          <cell r="K122">
            <v>45706</v>
          </cell>
          <cell r="L122">
            <v>46071</v>
          </cell>
          <cell r="M122">
            <v>85</v>
          </cell>
        </row>
        <row r="123">
          <cell r="A123" t="str">
            <v>081/2023</v>
          </cell>
          <cell r="B123">
            <v>20625708.079999998</v>
          </cell>
          <cell r="C123" t="str">
            <v>DE</v>
          </cell>
          <cell r="D123" t="str">
            <v>QUALITECH ENGENHARIA LTDA</v>
          </cell>
          <cell r="E123" t="str">
            <v>Execução de obras e serviço de conclusão de implementação e ampliação do Sistema de esgotamento de Sanitário de São Luís MA Etapa 1 - Sistema Vinhais (PAC1)</v>
          </cell>
          <cell r="F123" t="str">
            <v>DISPENSA DE LICITAÇÃO N° 022/2023</v>
          </cell>
          <cell r="G123" t="str">
            <v>69.388.361/0001-53</v>
          </cell>
          <cell r="K123">
            <v>45708</v>
          </cell>
          <cell r="L123">
            <v>46073</v>
          </cell>
          <cell r="M123">
            <v>87</v>
          </cell>
        </row>
        <row r="124">
          <cell r="A124" t="str">
            <v>008/2025</v>
          </cell>
          <cell r="B124">
            <v>1643564</v>
          </cell>
          <cell r="C124" t="str">
            <v>DG</v>
          </cell>
          <cell r="D124" t="str">
            <v>AROMA E SABOR ALIMENTOS</v>
          </cell>
          <cell r="E124" t="str">
            <v>Contratação de empresa especializada em fornecimento de refeições, compreendendo preparação, transporte e distribuição, fornecimento de insumos (gêneros alimentícios, materiais de limpeza e descartáveis), higienização de utensílios, equipamentos, dedetização da área física, manutenção corretiva e preventiva de equipamentos.</v>
          </cell>
          <cell r="F124" t="str">
            <v>LICITAÇÃO ELETRÔNICA
N° 032/2024</v>
          </cell>
          <cell r="G124" t="str">
            <v>13.386.808/0001-09</v>
          </cell>
          <cell r="H124" t="str">
            <v>Portaria 364/2025</v>
          </cell>
          <cell r="I124" t="str">
            <v>Adonias Lima Coelho</v>
          </cell>
          <cell r="J124" t="str">
            <v>Tanilse de Fatima Moraes Lima</v>
          </cell>
          <cell r="K124">
            <v>45708</v>
          </cell>
          <cell r="L124">
            <v>46073</v>
          </cell>
          <cell r="M124">
            <v>87</v>
          </cell>
        </row>
        <row r="125">
          <cell r="A125" t="str">
            <v>017/2022</v>
          </cell>
          <cell r="B125" t="str">
            <v>240.00,00</v>
          </cell>
          <cell r="C125" t="str">
            <v>PR</v>
          </cell>
          <cell r="D125" t="str">
            <v>PIRES E MENEZES SOARES ADVOGADOS</v>
          </cell>
          <cell r="E125" t="str">
            <v>Contratação de serviços técnicos especializados de consultoria juridica preventiva,administrativa e contenciosa nas áreas de direito trabalhista e previdenciário,perante todas as instancias dos Tribunais Regionais e Superioresa serem prestados por sociedade de advogados para CAEMA</v>
          </cell>
          <cell r="F125" t="str">
            <v>Pregão Presencialnº 003/2021</v>
          </cell>
          <cell r="G125" t="str">
            <v>21.573.226/0001-51</v>
          </cell>
          <cell r="K125">
            <v>45712</v>
          </cell>
          <cell r="L125">
            <v>46077</v>
          </cell>
          <cell r="M125">
            <v>91</v>
          </cell>
        </row>
        <row r="126">
          <cell r="A126" t="str">
            <v>012/2025</v>
          </cell>
          <cell r="B126">
            <v>9091970</v>
          </cell>
          <cell r="C126" t="str">
            <v>DO</v>
          </cell>
          <cell r="D126" t="str">
            <v>ORIONSISTEM EQUIPAMENTOS INDUSTRIAIS LTDA</v>
          </cell>
          <cell r="E126" t="str">
            <v>Contratação de empresa especializada para execução de serviços de manutenção de redes, ramais prediais e pequenas ampliações de redes dos Sistemas de Abastecimento de Água da cidade de Imperatriz-MA.</v>
          </cell>
          <cell r="F126" t="str">
            <v>LICITAÇÃO ELETRÔNICA
N° 033/2024 - PRL/CAEMA</v>
          </cell>
          <cell r="G126" t="str">
            <v>04539534/0001-41</v>
          </cell>
          <cell r="K126">
            <v>45722</v>
          </cell>
          <cell r="L126">
            <v>46087</v>
          </cell>
          <cell r="M126">
            <v>101</v>
          </cell>
        </row>
        <row r="127">
          <cell r="A127" t="str">
            <v>012/2021</v>
          </cell>
          <cell r="B127">
            <v>112126.72</v>
          </cell>
          <cell r="C127" t="str">
            <v>DG</v>
          </cell>
          <cell r="D127" t="str">
            <v>AUDILINK &amp; CIA AUDITORES</v>
          </cell>
          <cell r="E127" t="str">
            <v>Contratação de empresa especializada para a prestação de serviços de auditoria independente nas demonstrações contábeis da Companhia de Saneamento Ambiental do Maranhão — CAEMA para o exercício a findar-se em 31 de dezembro de 2020 e os 03 (três) primeiros trimestres de 2021</v>
          </cell>
          <cell r="F127" t="str">
            <v>Pregão Eletrônico nº° 001/2021 - PRE/CAEMA</v>
          </cell>
          <cell r="G127" t="str">
            <v>02.163.575/0012-03</v>
          </cell>
          <cell r="K127">
            <v>45725</v>
          </cell>
          <cell r="L127">
            <v>46090</v>
          </cell>
          <cell r="M127">
            <v>104</v>
          </cell>
        </row>
        <row r="128">
          <cell r="A128" t="str">
            <v>001/2024</v>
          </cell>
          <cell r="C128" t="str">
            <v>TCT - DG</v>
          </cell>
          <cell r="D128" t="str">
            <v>FÁCIL SOLUÇÕES TECNOLÓGICAS EM INFORMÁTICA S/A</v>
          </cell>
          <cell r="E128" t="str">
            <v>Prestação de serviços de telefonia VOIP (PABX CLOUD)</v>
          </cell>
          <cell r="F128" t="str">
            <v>PREGÃO ELETRONICO 035/2023</v>
          </cell>
          <cell r="G128" t="str">
            <v>65295172000185</v>
          </cell>
          <cell r="K128">
            <v>45681</v>
          </cell>
          <cell r="L128">
            <v>46046</v>
          </cell>
          <cell r="M128">
            <v>60</v>
          </cell>
        </row>
        <row r="129">
          <cell r="A129" t="str">
            <v>014/2025</v>
          </cell>
          <cell r="B129">
            <v>1020000</v>
          </cell>
          <cell r="C129" t="str">
            <v>DO</v>
          </cell>
          <cell r="D129" t="str">
            <v>N DA P SANTOS AMORIM AUTO PEÇAS</v>
          </cell>
          <cell r="E129" t="str">
            <v xml:space="preserve"> 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01 – SÃO LUÍS).</v>
          </cell>
          <cell r="F129" t="str">
            <v>Licitação Eletrônica n. º 025/2024 - PRL/CAEMA</v>
          </cell>
          <cell r="G129" t="str">
            <v>27.428.840/0001-06</v>
          </cell>
          <cell r="K129">
            <v>45736</v>
          </cell>
          <cell r="L129">
            <v>46101</v>
          </cell>
          <cell r="M129">
            <v>115</v>
          </cell>
        </row>
        <row r="130">
          <cell r="A130" t="str">
            <v>015/2025</v>
          </cell>
          <cell r="B130">
            <v>1000000</v>
          </cell>
          <cell r="C130" t="str">
            <v>DO</v>
          </cell>
          <cell r="D130" t="str">
            <v>N DA P SANTOS AMORIM AUTO PEÇAS</v>
          </cell>
          <cell r="E130" t="str">
            <v>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02 - ITAPECURU MIRIM, BARREIRINHAS, CHAPADINHA E COROATÁ)</v>
          </cell>
          <cell r="F130" t="str">
            <v xml:space="preserve"> Licitação Eletrônica n. º 025/2024- PRL/CAEMA</v>
          </cell>
          <cell r="G130" t="str">
            <v>27.428.840/0001-06</v>
          </cell>
          <cell r="K130">
            <v>45736</v>
          </cell>
          <cell r="L130">
            <v>46101</v>
          </cell>
          <cell r="M130">
            <v>115</v>
          </cell>
        </row>
        <row r="131">
          <cell r="A131" t="str">
            <v>016/2025</v>
          </cell>
          <cell r="B131">
            <v>955000</v>
          </cell>
          <cell r="C131" t="str">
            <v>DO</v>
          </cell>
          <cell r="D131" t="str">
            <v>N DA P SANTOS AMORIM AUTO PEÇAS</v>
          </cell>
          <cell r="E131" t="str">
            <v>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03 – IMPERATRIZ).</v>
          </cell>
          <cell r="F131" t="str">
            <v xml:space="preserve"> Licitação Eletrônica n. º 025/2024- PRL/CAEMA</v>
          </cell>
          <cell r="G131" t="str">
            <v>27.428.840/0001-07</v>
          </cell>
          <cell r="K131">
            <v>45736</v>
          </cell>
          <cell r="L131">
            <v>46101</v>
          </cell>
          <cell r="M131">
            <v>115</v>
          </cell>
        </row>
        <row r="132">
          <cell r="A132" t="str">
            <v>006/2023</v>
          </cell>
          <cell r="C132" t="str">
            <v>DG</v>
          </cell>
          <cell r="D132" t="str">
            <v>PAGPLAN SERVIÇOS DE TECNOLOGIA EM PAGAMENTOS LTDA</v>
          </cell>
          <cell r="E132" t="str">
            <v>Credenciarnento de empresa especializada, adquirente ou subadquirente, para prestação de serviços na modalidade de licenciamento e fornecimento de gateway de pagamentos para prover aos clientes CAEMA o meio de pagamentos on-line, por meio eletrônico, que possibilite realizar a captura, roteamento, transmissão e processamento de transações financeiras com cartões de crédito e débito, à vista e parcelados, para operações de pagamento oriundos das contas de consumo, multas e demais taxas devidas de recebiveis dos Clientes desta Companhia</v>
          </cell>
          <cell r="F132" t="str">
            <v>CREDENCIAMENTO N° 001/2019</v>
          </cell>
          <cell r="G132" t="str">
            <v>37.224.002/0001-74</v>
          </cell>
          <cell r="K132">
            <v>45740</v>
          </cell>
          <cell r="L132">
            <v>46105</v>
          </cell>
          <cell r="M132">
            <v>119</v>
          </cell>
        </row>
        <row r="133">
          <cell r="A133" t="str">
            <v>024/2022</v>
          </cell>
          <cell r="B133">
            <v>94141.05</v>
          </cell>
          <cell r="C133" t="str">
            <v>DE</v>
          </cell>
          <cell r="D133" t="str">
            <v>MAPDATA TECNOLOGIA INFORMÁTICA E COMÉRCIO</v>
          </cell>
          <cell r="E133" t="str">
            <v>Aquisição de licenças (assinaturas) de uso de softwares autodesck, versão 2022 ou superior com transferência de conhecimento tecnologico,para implantação da metodologia BIM</v>
          </cell>
          <cell r="F133" t="str">
            <v>Adesão a ARP nº 02/2021/COSANPA.  (CARONA)</v>
          </cell>
          <cell r="G133" t="str">
            <v>66.582.784/0001-11</v>
          </cell>
          <cell r="K133">
            <v>45740</v>
          </cell>
          <cell r="L133">
            <v>46105</v>
          </cell>
          <cell r="M133">
            <v>119</v>
          </cell>
        </row>
        <row r="134">
          <cell r="A134" t="str">
            <v>008/2023</v>
          </cell>
          <cell r="B134">
            <v>11110.92</v>
          </cell>
          <cell r="C134" t="str">
            <v>DG-LOCAÇÃO</v>
          </cell>
          <cell r="D134" t="str">
            <v>KELLY ANNE LIMA FERREIRA (DAVINOPOLIS)</v>
          </cell>
          <cell r="E134" t="str">
            <v>Locação o imóvel para funcionamento do Escritório Local no Município de DAVINÓPOLIS/MA</v>
          </cell>
          <cell r="F134" t="str">
            <v>DISPENSA DE LICITAÇÃO  N° 04/2023</v>
          </cell>
          <cell r="G134" t="str">
            <v xml:space="preserve"> 009.431.743-76</v>
          </cell>
          <cell r="K134">
            <v>45742</v>
          </cell>
          <cell r="L134">
            <v>46107</v>
          </cell>
          <cell r="M134">
            <v>121</v>
          </cell>
        </row>
        <row r="135">
          <cell r="A135" t="str">
            <v>014/2023</v>
          </cell>
          <cell r="B135">
            <v>11110.92</v>
          </cell>
          <cell r="C135" t="str">
            <v>DG-LOCAÇÃO</v>
          </cell>
          <cell r="D135" t="str">
            <v>APARECIDA MARIA DE SOUZA SILVA (SÃO PEDRO DA AGUA BRANCA)</v>
          </cell>
          <cell r="E135" t="str">
            <v>Locação de imóvel para funcionamento do Escritório Local no Município de SÃO PEDRO DA ÁGUA BRANCA/MA.</v>
          </cell>
          <cell r="F135" t="str">
            <v>DISPENSA DE LICITAÇÃO  N° 003/2023</v>
          </cell>
          <cell r="G135" t="str">
            <v>302.490.312-72</v>
          </cell>
          <cell r="K135">
            <v>45745</v>
          </cell>
          <cell r="L135">
            <v>46110</v>
          </cell>
          <cell r="M135">
            <v>124</v>
          </cell>
        </row>
        <row r="136">
          <cell r="A136" t="str">
            <v>023/2022</v>
          </cell>
          <cell r="B136">
            <v>14504.42</v>
          </cell>
          <cell r="C136" t="str">
            <v>DG</v>
          </cell>
          <cell r="D136" t="str">
            <v>PRIME CONSTRUÇÕES E SERVIÇOS EIRELI</v>
          </cell>
          <cell r="E136" t="str">
            <v>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em IMPERATRIZ (LOTE 02)</v>
          </cell>
          <cell r="F136" t="str">
            <v>Pregão Eletrônico n.° 083/2021</v>
          </cell>
          <cell r="G136" t="str">
            <v>04.365.758/0001-84</v>
          </cell>
          <cell r="K136">
            <v>45745</v>
          </cell>
          <cell r="L136">
            <v>46110</v>
          </cell>
          <cell r="M136">
            <v>124</v>
          </cell>
        </row>
        <row r="137">
          <cell r="A137" t="str">
            <v>010/2023</v>
          </cell>
          <cell r="B137">
            <v>9947.0400000000009</v>
          </cell>
          <cell r="C137" t="str">
            <v>DG-LOCAÇÃO</v>
          </cell>
          <cell r="D137" t="str">
            <v>MARIA DOS AFLITOS VIANA (SANTA QUITERIA)</v>
          </cell>
          <cell r="E137" t="str">
            <v>Locação de imóvel para funcionamento do Escritório Local no Município de Santa Quitéria/MA</v>
          </cell>
          <cell r="F137" t="str">
            <v>DISPENSA DE LICITAÇÃO  N° 05/2023</v>
          </cell>
          <cell r="G137" t="str">
            <v>471.421.623-68</v>
          </cell>
          <cell r="K137">
            <v>45745</v>
          </cell>
          <cell r="L137">
            <v>46110</v>
          </cell>
          <cell r="M137">
            <v>124</v>
          </cell>
        </row>
        <row r="138">
          <cell r="A138" t="str">
            <v>011/2023</v>
          </cell>
          <cell r="B138">
            <v>17407.2</v>
          </cell>
          <cell r="C138" t="str">
            <v>DG-LOCAÇÃO</v>
          </cell>
          <cell r="D138" t="str">
            <v>OSMARINA GOMES DUARTE (AFONSO CUNHA)</v>
          </cell>
          <cell r="E138" t="str">
            <v>Locação o imóvel para funcionamento do Escritório Local no Município de AFONSO CUNHA/MA</v>
          </cell>
          <cell r="F138" t="str">
            <v>DISPENSA DE LICITAÇÃO  N° 02/2023</v>
          </cell>
          <cell r="G138" t="str">
            <v>449.297.573-04</v>
          </cell>
          <cell r="K138">
            <v>45745</v>
          </cell>
          <cell r="L138">
            <v>46110</v>
          </cell>
          <cell r="M138">
            <v>124</v>
          </cell>
        </row>
        <row r="139">
          <cell r="A139" t="str">
            <v>022/2022</v>
          </cell>
          <cell r="B139">
            <v>1346047.85</v>
          </cell>
          <cell r="C139" t="str">
            <v>DG</v>
          </cell>
          <cell r="D139" t="str">
            <v>MALKA SERVICE LTDA EPP</v>
          </cell>
          <cell r="E139" t="str">
            <v>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localizados na capital ITALUIS - LOTE 01</v>
          </cell>
          <cell r="F139" t="str">
            <v>Pregão Eletrônico n.° 083/2021</v>
          </cell>
          <cell r="G139" t="str">
            <v>24.891.740/0001-23</v>
          </cell>
          <cell r="K139">
            <v>45747</v>
          </cell>
          <cell r="L139">
            <v>46112</v>
          </cell>
          <cell r="M139">
            <v>126</v>
          </cell>
        </row>
        <row r="140">
          <cell r="A140" t="str">
            <v>001/2022</v>
          </cell>
          <cell r="B140">
            <v>3822897.1</v>
          </cell>
          <cell r="C140" t="str">
            <v>DG</v>
          </cell>
          <cell r="D140" t="str">
            <v>PD CASE/RAS INFORMÁTICA LTDA</v>
          </cell>
          <cell r="E140" t="str">
            <v>GARANTIA CONTRATUAL: n. 0306920229907750691792000</v>
          </cell>
          <cell r="F140" t="str">
            <v>GARANTIA CONTRATUAL</v>
          </cell>
          <cell r="G140" t="str">
            <v>38.519.484/0001-52</v>
          </cell>
          <cell r="K140">
            <v>45754</v>
          </cell>
          <cell r="L140">
            <v>46119</v>
          </cell>
          <cell r="M140">
            <v>133</v>
          </cell>
        </row>
        <row r="141">
          <cell r="A141" t="str">
            <v>030/2025</v>
          </cell>
          <cell r="B141">
            <v>5946189</v>
          </cell>
          <cell r="C141" t="str">
            <v>DG</v>
          </cell>
          <cell r="D141" t="str">
            <v>MARANHÃO PARCERIAS MAPA</v>
          </cell>
          <cell r="E141" t="str">
            <v xml:space="preserve">  Contratação da MARANHÃO PARCERIAS - MAPA para o gerenciamento de 25 (vinte e cinco) postos de trabalho de vigilância desarmada, abrangendo turnos diurnos e noturnos, em regime contínuo, incluindo o fornecimento de todos os insumos, acessórios e equipamentos necessários, de forma a atender a necessidade da Companhia de Saneamento Ambiental do Maranhão - CAEMA em unidades localizadas em São Luís; nas Gerências de Serviços e Negócios de Pinheiro, Barreirinhas, Chapadinha, Pedreiras, Colinas, Santa Inês, Imperatriz, Itapecuru Mirim e Presidente Dutra; nas Coordenadorias Especiais de Coroatá, São João dos Patos, São Raimundo das Mangabeiras</v>
          </cell>
          <cell r="F141" t="str">
            <v>DISPENSA DE LICITAÇÃO</v>
          </cell>
          <cell r="G141" t="str">
            <v>06.281.794/0001-95</v>
          </cell>
          <cell r="K141">
            <v>45757</v>
          </cell>
          <cell r="L141">
            <v>46122</v>
          </cell>
          <cell r="M141">
            <v>136</v>
          </cell>
        </row>
        <row r="142">
          <cell r="A142" t="str">
            <v>024/2023</v>
          </cell>
          <cell r="B142">
            <v>3265952.68</v>
          </cell>
          <cell r="C142" t="str">
            <v>DO</v>
          </cell>
          <cell r="D142" t="str">
            <v>SÓ POÇOS CONSTRUÇÕES EIRELI</v>
          </cell>
          <cell r="E142" t="str">
            <v>Serviços específicos de engenharia e hidrogeologia para manutenção e reabilitação de poços tubulares profundos operados pela CAEMA em Imperatriz/MA</v>
          </cell>
          <cell r="F142" t="str">
            <v>Pregão Eletrõnico n° 037/2022</v>
          </cell>
          <cell r="G142" t="str">
            <v>06.922.664/0001-94</v>
          </cell>
          <cell r="K142">
            <v>45760</v>
          </cell>
          <cell r="L142">
            <v>46125</v>
          </cell>
          <cell r="M142">
            <v>139</v>
          </cell>
        </row>
        <row r="143">
          <cell r="A143" t="str">
            <v>031/2025</v>
          </cell>
          <cell r="B143">
            <v>207320</v>
          </cell>
          <cell r="C143" t="str">
            <v>DG</v>
          </cell>
          <cell r="D143" t="str">
            <v>MIRAINOX LTDA</v>
          </cell>
          <cell r="E143" t="str">
            <v>O presente Contrato tem por objeto a aquisição de equipamentos e materiais, como a máquina envasadora, mesa acumuladora para envasar água mineral/tratada em copos, compatíveis com 200 até 300ml, com capacidade de produção de 2.500 a 3.100 unid/hora</v>
          </cell>
          <cell r="F143" t="str">
            <v>Licitação Eletrônica n.º 002/2025-PRL/CAEMA</v>
          </cell>
          <cell r="G143" t="str">
            <v>02.627.690/0001-39</v>
          </cell>
          <cell r="K143">
            <v>45763</v>
          </cell>
          <cell r="L143">
            <v>46128</v>
          </cell>
          <cell r="M143">
            <v>142</v>
          </cell>
        </row>
        <row r="144">
          <cell r="A144" t="str">
            <v>032/2025</v>
          </cell>
          <cell r="B144">
            <v>109780</v>
          </cell>
          <cell r="C144" t="str">
            <v>DG</v>
          </cell>
          <cell r="D144" t="str">
            <v>RD COMERCIAL</v>
          </cell>
          <cell r="E144" t="str">
            <v>O presente contrato tem por objeto a aquisição de equipamentos e materiais, como, copos plásticos, selos de alumínio e caixas de proteção de papelão, destinados exclusivamente ao processo de envase</v>
          </cell>
          <cell r="F144" t="str">
            <v>Licitação Eletrônica n.º 002/2025-PRL/CAEMA</v>
          </cell>
          <cell r="G144" t="str">
            <v>38.560.437/0001/52</v>
          </cell>
          <cell r="K144">
            <v>45763</v>
          </cell>
          <cell r="L144">
            <v>46128</v>
          </cell>
          <cell r="M144">
            <v>142</v>
          </cell>
        </row>
        <row r="145">
          <cell r="A145" t="str">
            <v>015/2023</v>
          </cell>
          <cell r="B145">
            <v>3938893.84</v>
          </cell>
          <cell r="C145" t="str">
            <v>DO</v>
          </cell>
          <cell r="D145" t="str">
            <v>DESTACK SERVIÇOS AMBIENTAIS</v>
          </cell>
          <cell r="E145" t="str">
            <v>Serviços de desobstrução e limpeza de redes coletoras, ramais prediais, interceptores, emissários por gravidade, poços de visita, caixas de inspeção, estações elevatórias e estações de tratamento de esgotos, com utilização de equipamentos específicos, motoristas operadores, ajudantes de apoio e combustive!, além dos serviços de video inspeção por televisionamento, inspeção e relatório de diagnóstico e prognóstico de redes coletoras, do Sistema de Esgotamento Sanitário da cidade de Imperatriz/MA</v>
          </cell>
          <cell r="F145" t="str">
            <v>PREGÃO ELETRÔNICO N° 075/2022</v>
          </cell>
          <cell r="G145" t="str">
            <v>23.682.131/0001-00</v>
          </cell>
          <cell r="K145">
            <v>45765</v>
          </cell>
          <cell r="L145">
            <v>46130</v>
          </cell>
          <cell r="M145">
            <v>144</v>
          </cell>
        </row>
        <row r="146">
          <cell r="A146" t="str">
            <v>025/2023</v>
          </cell>
          <cell r="B146">
            <v>261000</v>
          </cell>
          <cell r="C146" t="str">
            <v>DG</v>
          </cell>
          <cell r="D146" t="str">
            <v>MJ TERCEIRIZAÇÃO E SERVIÇO LTDA</v>
          </cell>
          <cell r="E146" t="str">
            <v xml:space="preserve">Serviço de manutenção preventiva e corretiva em aparelhos de ar condicionados tipo Slpit. </v>
          </cell>
          <cell r="F146" t="str">
            <v>Pregão Eletrõnico n° 072/2022</v>
          </cell>
          <cell r="G146" t="str">
            <v>24.829.055/0001-77</v>
          </cell>
          <cell r="K146">
            <v>45772</v>
          </cell>
          <cell r="L146">
            <v>46137</v>
          </cell>
          <cell r="M146">
            <v>151</v>
          </cell>
        </row>
        <row r="147">
          <cell r="A147" t="str">
            <v>034/2021</v>
          </cell>
          <cell r="B147">
            <v>17204.88</v>
          </cell>
          <cell r="C147" t="str">
            <v>DG-LOCAÇÃO</v>
          </cell>
          <cell r="D147" t="str">
            <v>OEDSON ALVES BEZERRA (MIRADOR)</v>
          </cell>
          <cell r="E147" t="str">
            <v>Locação de imóvel para o  funcionamento  de  escritório no  Município  de  Mirador/MA</v>
          </cell>
          <cell r="F147" t="str">
            <v>Dispensa de Licitação</v>
          </cell>
          <cell r="G147" t="str">
            <v>146.370.063-68</v>
          </cell>
          <cell r="K147">
            <v>45782</v>
          </cell>
          <cell r="L147">
            <v>46147</v>
          </cell>
          <cell r="M147">
            <v>161</v>
          </cell>
        </row>
        <row r="148">
          <cell r="A148" t="str">
            <v>029/2023</v>
          </cell>
          <cell r="B148">
            <v>252747</v>
          </cell>
          <cell r="C148" t="str">
            <v>DG</v>
          </cell>
          <cell r="D148" t="str">
            <v>TRANSPORTES REQUINTE LTDA</v>
          </cell>
          <cell r="E148" t="str">
            <v>Serviços de transporte coletivo para a condução de funcionários da CAEMA lotados no sistema Sacavém</v>
          </cell>
          <cell r="F148" t="str">
            <v>PREGÃO ELETRÔNICO N° 001/2023</v>
          </cell>
          <cell r="G148" t="str">
            <v>06.077.708/0001-27</v>
          </cell>
          <cell r="K148">
            <v>45788</v>
          </cell>
          <cell r="L148">
            <v>46153</v>
          </cell>
          <cell r="M148">
            <v>167</v>
          </cell>
        </row>
        <row r="149">
          <cell r="A149" t="str">
            <v>009/2025</v>
          </cell>
          <cell r="B149">
            <v>3854404.86</v>
          </cell>
          <cell r="C149" t="str">
            <v>DE</v>
          </cell>
          <cell r="D149" t="str">
            <v>SÓ POÇOS CONSTRUÇÕES EIRELI</v>
          </cell>
          <cell r="E149" t="str">
            <v>Perfuração de 04 (quatro) poços tubulares profundos, no Município de Imperatriz/MA.</v>
          </cell>
          <cell r="F149" t="str">
            <v>PREGÃO ELETRÔNICO 
Nº 024/2023</v>
          </cell>
          <cell r="G149" t="str">
            <v>06.922.664.0001-94</v>
          </cell>
          <cell r="K149">
            <v>45789</v>
          </cell>
          <cell r="L149">
            <v>46154</v>
          </cell>
          <cell r="M149">
            <v>168</v>
          </cell>
        </row>
        <row r="150">
          <cell r="A150" t="str">
            <v>041/2025</v>
          </cell>
          <cell r="B150">
            <v>18862196.289999999</v>
          </cell>
          <cell r="C150" t="str">
            <v>DC</v>
          </cell>
          <cell r="D150" t="str">
            <v>FIMM BRASIL LTDA</v>
          </cell>
          <cell r="E150" t="str">
            <v xml:space="preserve">Contratação de uma empresa especializada na prestação contínua de serviços de instalação e manutenção de ramais de águas e ramais de esgoto, instalação e substituição de hidrômetros, corte, religação, supressão, restabelecimento, remanejamento de hidrômetros e ramais prediais de águas e conserto de vazamentos, localizados no Sistemas de Abastecimento de Água da região metropolitana de Sâo Luís/MA.     </v>
          </cell>
          <cell r="F150" t="str">
            <v>Licitação Eletrônica n.º 004/2025-PRL/CAEMA</v>
          </cell>
          <cell r="G150" t="str">
            <v>01.298.675/0001-21</v>
          </cell>
          <cell r="K150">
            <v>45791</v>
          </cell>
          <cell r="L150">
            <v>46156</v>
          </cell>
          <cell r="M150">
            <v>170</v>
          </cell>
        </row>
        <row r="151">
          <cell r="A151" t="str">
            <v>032/2023</v>
          </cell>
          <cell r="B151">
            <v>10642.8</v>
          </cell>
          <cell r="C151" t="str">
            <v>DG-LOCAÇÃO</v>
          </cell>
          <cell r="D151" t="str">
            <v>CARLOS AUGUSTO SANTOS GONÇALVES (MORROS)</v>
          </cell>
          <cell r="E151" t="str">
            <v xml:space="preserve">Locação o imóvel situado no Município de MORROS /MA, para funcionamento do Escritório Local. </v>
          </cell>
          <cell r="F151" t="str">
            <v>DISPENSA DE LICITAÇÃO N° 011/2023- CAEMA</v>
          </cell>
          <cell r="G151" t="str">
            <v>255.033.403-53</v>
          </cell>
          <cell r="K151">
            <v>45794</v>
          </cell>
          <cell r="L151">
            <v>46159</v>
          </cell>
          <cell r="M151">
            <v>173</v>
          </cell>
        </row>
        <row r="152">
          <cell r="A152" t="str">
            <v>027/2023</v>
          </cell>
          <cell r="B152">
            <v>7582221.96</v>
          </cell>
          <cell r="C152" t="str">
            <v>DO</v>
          </cell>
          <cell r="D152" t="str">
            <v>MARQUES CONSTRUÇÕES E COMÉRCIO LTDA</v>
          </cell>
          <cell r="E152" t="str">
            <v>Contratação de empresa especializada para contratação de serviços de manutenção preventiva e corretiva em anéis de distribuição, adutoras e subadutoras de água, incluindo as conexões, válvulas e aparelhos de ferro fundido, aço carbono e PVC DeFoFo</v>
          </cell>
          <cell r="F152" t="str">
            <v>Pregão Eletrônico nº 007/2023</v>
          </cell>
          <cell r="G152" t="str">
            <v>20.451.788/0001-60</v>
          </cell>
          <cell r="K152">
            <v>45795</v>
          </cell>
          <cell r="L152">
            <v>46160</v>
          </cell>
          <cell r="M152">
            <v>174</v>
          </cell>
        </row>
        <row r="153">
          <cell r="A153" t="str">
            <v>095/2022</v>
          </cell>
          <cell r="B153">
            <v>3040776.78</v>
          </cell>
          <cell r="C153" t="str">
            <v>DE</v>
          </cell>
          <cell r="D153" t="str">
            <v>MOBICON CONSTRUTORA LTDA</v>
          </cell>
          <cell r="E153" t="str">
            <v xml:space="preserve">Execução de Obras e Serviços de Conclusão de Implantação e Ampliação do Sistema de Esgotamento Sanitário de Sao Luis-Etapa 1- Sistemas: Anil, Bacanga (Margem Direita), São Francisco E Vinhais (PAC 2), </v>
          </cell>
          <cell r="F153" t="str">
            <v>LICITAÇÃO PUBLICA 01/22 - LP0012022</v>
          </cell>
          <cell r="G153" t="str">
            <v>2.260.240/0001-04</v>
          </cell>
          <cell r="K153">
            <v>45795</v>
          </cell>
          <cell r="L153">
            <v>46160</v>
          </cell>
          <cell r="M153">
            <v>174</v>
          </cell>
        </row>
        <row r="154">
          <cell r="A154" t="str">
            <v>002/2018</v>
          </cell>
          <cell r="B154">
            <v>428344.32000000001</v>
          </cell>
          <cell r="C154" t="str">
            <v>DE</v>
          </cell>
          <cell r="D154" t="str">
            <v>SECRETARIA DE ESTADO DA AGRICULTURA FAMILIAR- SAF</v>
          </cell>
          <cell r="F154"/>
          <cell r="K154">
            <v>45799</v>
          </cell>
          <cell r="L154">
            <v>46164</v>
          </cell>
          <cell r="M154">
            <v>178</v>
          </cell>
        </row>
        <row r="155">
          <cell r="A155" t="str">
            <v>027/2022</v>
          </cell>
          <cell r="B155">
            <v>28000</v>
          </cell>
          <cell r="C155" t="str">
            <v>DG</v>
          </cell>
          <cell r="D155" t="str">
            <v>PROMAXIMA GESTÃO EMPRESARIAL LTDA</v>
          </cell>
          <cell r="E155" t="str">
            <v>Contratação de empresa especializada para a prestação de serviço de assinatura online da ferramenta Fonte de Preço, que se constitui em banco de dados desenvolvidfo para auxiliar todas as fases da contratação pública, ou seja, da fase interna (pesquisa de preço, especificação de bem/serviço...) até a fase externa (julgamento das propostas)</v>
          </cell>
          <cell r="F155" t="str">
            <v>Inexigibilidade de Licitação</v>
          </cell>
          <cell r="G155" t="str">
            <v>16.538.909/0001-38</v>
          </cell>
          <cell r="K155">
            <v>45808</v>
          </cell>
          <cell r="L155">
            <v>46173</v>
          </cell>
          <cell r="M155">
            <v>187</v>
          </cell>
        </row>
        <row r="156">
          <cell r="A156" t="str">
            <v>017/2024</v>
          </cell>
          <cell r="B156">
            <v>48000</v>
          </cell>
          <cell r="C156" t="str">
            <v>DG-LOCAÇÃO</v>
          </cell>
          <cell r="D156" t="str">
            <v>Sra MARIA ROSEMAR PEREIRA DA COSTA (LOCATÁRIA)</v>
          </cell>
          <cell r="E156" t="str">
            <v>Locação de imóvel situado na travessa José Reis, município de Colinas/ Ma, para funcionamento do Escritório Local.</v>
          </cell>
          <cell r="F156" t="str">
            <v>DISPENSA DE LICITAÇÃO  N° 009/2024</v>
          </cell>
          <cell r="G156" t="str">
            <v>027.***.***-19</v>
          </cell>
          <cell r="K156">
            <v>45812</v>
          </cell>
          <cell r="L156">
            <v>46177</v>
          </cell>
          <cell r="M156">
            <v>191</v>
          </cell>
        </row>
        <row r="157">
          <cell r="A157" t="str">
            <v>021/2024</v>
          </cell>
          <cell r="B157">
            <v>20160</v>
          </cell>
          <cell r="C157" t="str">
            <v>DG</v>
          </cell>
          <cell r="D157" t="str">
            <v>WIKI TELECOMUNICAÇÕES LTDA</v>
          </cell>
          <cell r="E157" t="str">
            <v>Contratação de empresa para a prestação de serviço de, fornecimento de conectividade IP – Internet Protocolo, por meio de link dedicado.</v>
          </cell>
          <cell r="F157" t="str">
            <v>DISPENSA DE LICITAÇÃO N° 005/2024</v>
          </cell>
          <cell r="G157" t="str">
            <v>11.509.434/0001-38</v>
          </cell>
          <cell r="K157">
            <v>45814</v>
          </cell>
          <cell r="L157">
            <v>46179</v>
          </cell>
          <cell r="M157">
            <v>193</v>
          </cell>
        </row>
        <row r="158">
          <cell r="A158" t="str">
            <v>016/2024</v>
          </cell>
          <cell r="B158">
            <v>3599.9</v>
          </cell>
          <cell r="C158" t="str">
            <v>DE</v>
          </cell>
          <cell r="D158" t="str">
            <v xml:space="preserve">682 SOLUÇÕES EM TECNOLOGIA DA INFORMAÇÃO LTDA </v>
          </cell>
          <cell r="E158" t="str">
            <v xml:space="preserve">Contratação de serviços de fornecimento de licença anual de plataforma de pesquisa de preços de itens (serviços, materiais e equipamentos) em bancos oficiais, de acordo com as especificações técnicas e quantitativos constantes no termo de referência.
</v>
          </cell>
          <cell r="F158" t="str">
            <v>DISPENSA DE LICITAÇÃO N° 008/2024</v>
          </cell>
          <cell r="G158" t="str">
            <v>23.674.714/0001-80</v>
          </cell>
          <cell r="K158">
            <v>45818</v>
          </cell>
          <cell r="L158">
            <v>46183</v>
          </cell>
          <cell r="M158">
            <v>197</v>
          </cell>
        </row>
        <row r="159">
          <cell r="A159" t="str">
            <v>034/2024</v>
          </cell>
          <cell r="B159">
            <v>15600</v>
          </cell>
          <cell r="C159" t="str">
            <v>DG-LOCAÇÃO</v>
          </cell>
          <cell r="D159" t="str">
            <v xml:space="preserve">LOCAÇÃO SÃO BENEDITO </v>
          </cell>
          <cell r="E159" t="str">
            <v>Locação de  imóvel situado na Rua Evaristo Sousa, Município de SÃO BENEDITO DO RIO PRETO/MA, para funcionamento do Escritório Local.</v>
          </cell>
          <cell r="F159" t="str">
            <v>DISPENSA DE LICITAÇÃO  
N° 018/2024</v>
          </cell>
          <cell r="G159" t="str">
            <v>242.544.953-15</v>
          </cell>
          <cell r="K159">
            <v>45891</v>
          </cell>
          <cell r="L159">
            <v>46256</v>
          </cell>
          <cell r="M159">
            <v>270</v>
          </cell>
        </row>
        <row r="160">
          <cell r="A160" t="str">
            <v>058/2024</v>
          </cell>
          <cell r="B160">
            <v>24000</v>
          </cell>
          <cell r="C160" t="str">
            <v>DG-LOCAÇÃO</v>
          </cell>
          <cell r="D160" t="str">
            <v xml:space="preserve">SR. ALAN COELHO PASSARINHO </v>
          </cell>
          <cell r="E160" t="str">
            <v>Locação de  imóvel situado na Rua Manoel Olívio Carvalho, nº 255, Centro, Município de São Raimundo das Mangabeiras/MA, para funcionamento do Escritório Local.</v>
          </cell>
          <cell r="F160" t="str">
            <v>DISPENSA DE LICITAÇÃO N° 026/2024</v>
          </cell>
          <cell r="G160" t="str">
            <v>739.028.883-34</v>
          </cell>
          <cell r="K160">
            <v>45944</v>
          </cell>
          <cell r="L160">
            <v>46309</v>
          </cell>
          <cell r="M160">
            <v>323</v>
          </cell>
        </row>
        <row r="161">
          <cell r="A161" t="str">
            <v>046/2024</v>
          </cell>
          <cell r="B161">
            <v>4475699.54</v>
          </cell>
          <cell r="C161" t="str">
            <v>DC</v>
          </cell>
          <cell r="D161" t="str">
            <v xml:space="preserve">GHS BRASIL PRESTAÇÃO DE SERVIÇOS LTDA </v>
          </cell>
          <cell r="E161" t="str">
            <v>Prestação de serviços contínuos de leitura, impressão simultânea e entrega de contas, com a utilização de impressoras térmicas portáteis, coletores eletrônicos de dados, customização do sistema de impressão simultânea de contas e atualização cadastral de clientes da CAEMA, LOTE 03, UNIDADES DE PEDREIRAS, CHAPADINHA, PRESIDENTE DUTRA E COROÁTÁ/MA.</v>
          </cell>
          <cell r="F161" t="str">
            <v>DISPENSA DE LICITAÇÃO
N° 028/2024</v>
          </cell>
          <cell r="G161" t="str">
            <v>37.796.688/0001-78</v>
          </cell>
          <cell r="K161">
            <v>46027</v>
          </cell>
          <cell r="L161">
            <v>46392</v>
          </cell>
          <cell r="M161">
            <v>406</v>
          </cell>
        </row>
        <row r="162">
          <cell r="A162" t="str">
            <v>009/2023</v>
          </cell>
          <cell r="B162">
            <v>12500.9</v>
          </cell>
          <cell r="C162" t="str">
            <v>DG-LOCAÇÃO</v>
          </cell>
          <cell r="D162" t="str">
            <v>SONIA MARIA DE OLIVEIRA COIMBRA (JATOBA)</v>
          </cell>
          <cell r="E162" t="str">
            <v>Locação o imóvel para funcionamento do Escritório Local no Município de JATOBÁ/MA</v>
          </cell>
          <cell r="F162" t="str">
            <v>DISPENSA DE LICITAÇÃO  N° 06/2023</v>
          </cell>
          <cell r="G162" t="str">
            <v>249.511.453-91</v>
          </cell>
          <cell r="K162">
            <v>46111</v>
          </cell>
          <cell r="L162">
            <v>46476</v>
          </cell>
          <cell r="M162">
            <v>490</v>
          </cell>
        </row>
        <row r="163">
          <cell r="A163" t="str">
            <v>037/2023</v>
          </cell>
          <cell r="B163">
            <v>31321.200000000001</v>
          </cell>
          <cell r="C163" t="str">
            <v>DG-LOCAÇÃO</v>
          </cell>
          <cell r="D163" t="str">
            <v>MARIA DA CONCEIÇÃO DA SILVA (BACABEIRA)</v>
          </cell>
          <cell r="E163" t="str">
            <v xml:space="preserve">Locação o imóvel situado no Município de Bacabeira/MA, para funcionamento do Escritório Local. </v>
          </cell>
          <cell r="F163" t="str">
            <v>DISPENSA DE LICITAÇÃO N° 010/2023- CAEMA</v>
          </cell>
          <cell r="G163" t="str">
            <v>903.569.183-00</v>
          </cell>
          <cell r="K163">
            <v>46159</v>
          </cell>
          <cell r="L163">
            <v>46524</v>
          </cell>
          <cell r="M163">
            <v>538</v>
          </cell>
        </row>
        <row r="164">
          <cell r="A164" t="str">
            <v>034/2023</v>
          </cell>
          <cell r="B164">
            <v>17852.400000000001</v>
          </cell>
          <cell r="C164" t="str">
            <v>DG-LOCAÇÃO</v>
          </cell>
          <cell r="D164" t="str">
            <v>ANTONIA MARIA MACEDO LOPES FONSECA (FORTALEZA DOS NOGUEIRAS)</v>
          </cell>
          <cell r="E164" t="str">
            <v>Locação o imóvel no MUNICÍPIO DE FORTALEZA DOS NOGUEIRAS/MA, para funcionamento do Escritório Local</v>
          </cell>
          <cell r="F164" t="str">
            <v>DISPENSA DE LICITAÇÃO N° 015/2023</v>
          </cell>
          <cell r="G164" t="str">
            <v>650.080.493-72</v>
          </cell>
          <cell r="K164">
            <v>46173</v>
          </cell>
          <cell r="L164">
            <v>46538</v>
          </cell>
          <cell r="M164">
            <v>552</v>
          </cell>
        </row>
        <row r="165">
          <cell r="A165" t="str">
            <v>019/2025</v>
          </cell>
          <cell r="B165">
            <v>36108000</v>
          </cell>
          <cell r="C165" t="str">
            <v>DO</v>
          </cell>
          <cell r="D165" t="str">
            <v>BAUMINAS QUIMICA N-NE LTDA</v>
          </cell>
          <cell r="E165" t="str">
            <v>Fornecimento com entrega de 14.160.000 Kg de sulfato de alumínio ferroso líquido para atender a uma etapa do processo de produção de água nas instalações da CAEMA – LOTE 01 (Bacabeira/Italuis)</v>
          </cell>
          <cell r="F165" t="str">
            <v>Licitação Eletrônica n.º 024/2024-PRL/CAEMA</v>
          </cell>
          <cell r="G165" t="str">
            <v>23.647.365/0008-84</v>
          </cell>
          <cell r="K165">
            <v>46486</v>
          </cell>
          <cell r="L165">
            <v>46851</v>
          </cell>
          <cell r="M165">
            <v>865</v>
          </cell>
        </row>
        <row r="166">
          <cell r="A166" t="str">
            <v>020/2025</v>
          </cell>
          <cell r="B166">
            <v>4768785</v>
          </cell>
          <cell r="C166" t="str">
            <v>DO</v>
          </cell>
          <cell r="D166" t="str">
            <v>BAUMINAS QUIMICA N-NE LTDA</v>
          </cell>
          <cell r="E166" t="str">
            <v>Fornecimento com entrega de 2.725.020 Kg de sulfato de alumínio ferroso líquido para atender a uma etapa do processo de produção de água nas instalações da CAEMA – LOTE 02: Gerência de Serviços e Negócios de Chapadinha (Chapadinha - Centro, Chapadinha - Itamacaoca, Duque Bacelar, São Benedito Rio Preto, Buriti Inácia Vaz, Brejo, São Bernardo). Inclui também o fornecimento de tanques de armazenamento com bombas para o transporte do produto e conjuntos de bombas dosadoras em comodato, tanto em São Luís quanto no interior do Estado do Maranhão</v>
          </cell>
          <cell r="F166" t="str">
            <v>Licitação Eletrônica n.º 024/2024-PRL/CAEMA</v>
          </cell>
          <cell r="G166" t="str">
            <v>23.647.365/0008-84</v>
          </cell>
          <cell r="K166">
            <v>46486</v>
          </cell>
          <cell r="L166">
            <v>46851</v>
          </cell>
          <cell r="M166">
            <v>865</v>
          </cell>
        </row>
        <row r="167">
          <cell r="A167" t="str">
            <v>021/2025</v>
          </cell>
          <cell r="B167">
            <v>2892777.84</v>
          </cell>
          <cell r="C167" t="str">
            <v>DO</v>
          </cell>
          <cell r="D167" t="str">
            <v>BAUMINAS QUIMICA N-NE LTDA</v>
          </cell>
          <cell r="E167" t="str">
            <v>Fornecimento com entrega de 1.662.516 Kg de sulfato de alumínio ferroso líquido para atender a uma etapa do processo de produção de água nas instalações da CAEMA – LOTE 03: Gerência de Serviços e Negócios de Barreirinhas (Barreirinhas, Araioses, Tutóia, Urbano Santos, Morros, Axixá). Inclui também o fornecimento de tanques de armazenamento com bombas para o transporte do produto e conjuntos de bombas dosadoras em comodato, tanto em São Luís quanto no interior do Estado do Maranhão.</v>
          </cell>
          <cell r="F167" t="str">
            <v>Licitação Eletrônica n.º 024/2024-PRL/CAEMA</v>
          </cell>
          <cell r="G167" t="str">
            <v>23.647.365/0008-84</v>
          </cell>
          <cell r="K167">
            <v>46486</v>
          </cell>
          <cell r="L167">
            <v>46851</v>
          </cell>
          <cell r="M167">
            <v>865</v>
          </cell>
        </row>
        <row r="168">
          <cell r="A168" t="str">
            <v>022/2025</v>
          </cell>
          <cell r="B168">
            <v>4546689.12</v>
          </cell>
          <cell r="C168" t="str">
            <v>DO</v>
          </cell>
          <cell r="D168" t="str">
            <v>BAUMINAS QUIMICA N-NE LTDA</v>
          </cell>
          <cell r="E168" t="str">
            <v>Fornecimento com entrega de 2.628.144 Kg de sulfato de alumínio ferroso líquido para atender a uma etapa do processo de produção de água nas instalações da CAEMA – LOTE 04: Gerência de Serviços e Negócios de Itapecuru (Itapecuru, Cantanhede, Nina Rodrigues, Vargem Grande, Areias/Santa Rita, Pirapemas, Presidente Vargas). Inclui também o fornecimento de tanques de armazenamento com bombas para o transporte do produto e conjuntos de bombas dosadoras em comodato, tanto em São Luís quanto no interior do Estado do Maranhão.</v>
          </cell>
          <cell r="F168" t="str">
            <v>Licitação Eletrônica n.º 024/2024-PRL/CAEMA</v>
          </cell>
          <cell r="G168" t="str">
            <v>23.647.365/0008-84</v>
          </cell>
          <cell r="K168">
            <v>46486</v>
          </cell>
          <cell r="L168">
            <v>46851</v>
          </cell>
          <cell r="M168">
            <v>865</v>
          </cell>
        </row>
        <row r="169">
          <cell r="A169" t="str">
            <v>023/2025</v>
          </cell>
          <cell r="B169">
            <v>1785243.24</v>
          </cell>
          <cell r="C169" t="str">
            <v>DO</v>
          </cell>
          <cell r="D169" t="str">
            <v>BAUMINAS QUIMICA N-NE LTDA</v>
          </cell>
          <cell r="E169" t="str">
            <v>Fornecimento com entrega de 1.008.612 Kg de sulfato de alumínio ferroso líquido para atender a uma etapa do processo de produção de água nas instalações da CAEMA – LOTE 05: Gerência de Serviços e Negócios de Presidente Dutra (Barra do Corda). Inclui também o fornecimento de tanques de armazenamento com bombas para o transporte do produto e conjuntos de bombas dosadoras em comodato, tanto em São Luís quanto no interior do Estado do Maranhão.</v>
          </cell>
          <cell r="F169" t="str">
            <v>Licitação Eletrônica n.º 024/2024-PRL/CAEMA</v>
          </cell>
          <cell r="G169" t="str">
            <v>23.647.365/0008-84</v>
          </cell>
          <cell r="K169">
            <v>46486</v>
          </cell>
          <cell r="L169">
            <v>46851</v>
          </cell>
          <cell r="M169">
            <v>865</v>
          </cell>
        </row>
        <row r="170">
          <cell r="A170" t="str">
            <v>024/2025</v>
          </cell>
          <cell r="B170">
            <v>1299690</v>
          </cell>
          <cell r="C170" t="str">
            <v>DO</v>
          </cell>
          <cell r="D170" t="str">
            <v>BAUMINAS QUIMICA N-NE LTDA</v>
          </cell>
          <cell r="E170" t="str">
            <v>Fornecimento com entrega de 742.680 Kg de sulfato de alumínio ferroso líquido para atender a uma etapa do processo de produção de água nas instalações da CAEMA – LOTE 06: Gerência de Serviços e Negócios de Santa Inês (Cajari, Vitória do Mearim). Inclui também o fornecimento de tanques de armazenamento com bombas para o transporte do produto e conjuntos de bombas dosadoras em comodato, tanto em São Luís quanto no interior do Estado do Maranhão.</v>
          </cell>
          <cell r="F170" t="str">
            <v>Licitação Eletrônica n.º 024/2024-PRL/CAEMA</v>
          </cell>
          <cell r="G170" t="str">
            <v>23.647.365/0008-84</v>
          </cell>
          <cell r="H170" t="str">
            <v>Portaria 371/2025</v>
          </cell>
          <cell r="I170" t="str">
            <v>Antonio Juliano Lima Sousa</v>
          </cell>
          <cell r="J170" t="str">
            <v>Luso Cesar Lobo Negreiro</v>
          </cell>
          <cell r="K170">
            <v>46486</v>
          </cell>
          <cell r="L170">
            <v>46851</v>
          </cell>
          <cell r="M170">
            <v>865</v>
          </cell>
        </row>
        <row r="171">
          <cell r="A171" t="str">
            <v>025/2025</v>
          </cell>
          <cell r="B171">
            <v>1197644.3999999999</v>
          </cell>
          <cell r="C171" t="str">
            <v>DO</v>
          </cell>
          <cell r="D171" t="str">
            <v>BAUMINAS QUIMICA N-NE LTDA</v>
          </cell>
          <cell r="E171" t="str">
            <v>Fornecimento com entrega de 692.280 Kg de sulfato de alumínio ferroso líquido para atender a uma etapa do processo de produção de água nas instalações da CAEMA – LOTE 07: Gerência de Serviços e Negócios de Pinheiro (Pinheiro, Alcântara). Inclui também o fornecimento de tanques de armazenamento com bombas para o transporte do produto e conjuntos de bombas dosadoras em comodato, tanto em São Luís quanto no interior do Estado do Maranhão.</v>
          </cell>
          <cell r="F171" t="str">
            <v>Licitação Eletrônica n.º 024/2024-PRL/CAEMA</v>
          </cell>
          <cell r="G171" t="str">
            <v>23.647.365/0008-84</v>
          </cell>
          <cell r="K171">
            <v>46486</v>
          </cell>
          <cell r="L171">
            <v>46851</v>
          </cell>
          <cell r="M171">
            <v>865</v>
          </cell>
        </row>
        <row r="172">
          <cell r="A172" t="str">
            <v>026/2025</v>
          </cell>
          <cell r="B172">
            <v>1166760</v>
          </cell>
          <cell r="C172" t="str">
            <v>DO</v>
          </cell>
          <cell r="D172" t="str">
            <v>BAUMINAS QUIMICA N-NE LTDA</v>
          </cell>
          <cell r="E172" t="str">
            <v>Fornecimento com entrega de 666.720 Kg de sulfato de alumínio ferroso líquido para atender a uma etapa do processo de produção de água nas instalações da CAEMA – LOTE 08: Gerência de Serviços e Negócios de Colinas (Colinas, Barão de Grajaú, São Raimundo das Mangabeiras, Sambaíba, Loreto, Riachão). Inclui também o fornecimento de tanques de armazenamento com bombas para o transporte do produto e conjuntos de bombas dosadoras em comodato, tanto em São Luís quanto no interior do Estado do Maranhão.</v>
          </cell>
          <cell r="F172" t="str">
            <v>Licitação Eletrônica n.º 024/2024-PRL/CAEMA</v>
          </cell>
          <cell r="G172" t="str">
            <v>23.647.365/0008-84</v>
          </cell>
          <cell r="K172">
            <v>46486</v>
          </cell>
          <cell r="L172">
            <v>46851</v>
          </cell>
          <cell r="M172">
            <v>865</v>
          </cell>
        </row>
        <row r="173">
          <cell r="A173" t="str">
            <v>027/2025</v>
          </cell>
          <cell r="B173">
            <v>6665743.7999999998</v>
          </cell>
          <cell r="C173" t="str">
            <v>DO</v>
          </cell>
          <cell r="D173" t="str">
            <v>BAUMINAS QUIMICA N-NE LTDA</v>
          </cell>
          <cell r="E173" t="str">
            <v>Fornecimento com entrega de 3.349.620 Kg de policloreto de alumínio para atender a uma etapa do processo de produção de água nas instalações da CAEMA – LOTE 09: Gerência de Serviços e Negócios de Pedreiras (Pedreiras, Trizidela do vale, Timbiras). Inclui também o fornecimento de tanques de armazenamento com bombas para o transporte do produto e conjuntos de bombas dosadoras em comodato, tanto em São Luís quanto no interior do Estado do Maranhão.</v>
          </cell>
          <cell r="F173" t="str">
            <v>Licitação Eletrônica n.º 024/2024-PRL/CAEMA</v>
          </cell>
          <cell r="G173" t="str">
            <v>23.647.365/0008-84</v>
          </cell>
          <cell r="K173">
            <v>46486</v>
          </cell>
          <cell r="L173">
            <v>46851</v>
          </cell>
          <cell r="M173">
            <v>865</v>
          </cell>
        </row>
        <row r="174">
          <cell r="A174" t="str">
            <v>028/2025</v>
          </cell>
          <cell r="B174">
            <v>8207589.5999999996</v>
          </cell>
          <cell r="C174" t="str">
            <v>DO</v>
          </cell>
          <cell r="D174" t="str">
            <v>BAUMINAS QUIMICA N-NE LTDA</v>
          </cell>
          <cell r="E174" t="str">
            <v>Fornecimento com entrega de 4.319.784 Kg de policloreto de alumínio para atender a uma etapa do processo de produção de água nas instalações da CAEMA – LOTE 10: Gerência de Serviços e Negócios de Imperatriz (Imperatriz). Inclui também o fornecimento de tanques de armazenamento com bombas para o transporte do produto e conjuntos de bombas dosadoras em comodato, tanto em São Luís quanto no interior do Estado do Maranhão.</v>
          </cell>
          <cell r="F174" t="str">
            <v>Licitação Eletrônica n.º 024/2024-PRL/CAEMA</v>
          </cell>
          <cell r="G174" t="str">
            <v>23.647.365/0008-84</v>
          </cell>
          <cell r="K174">
            <v>46486</v>
          </cell>
          <cell r="L174">
            <v>46851</v>
          </cell>
          <cell r="M174">
            <v>865</v>
          </cell>
        </row>
        <row r="175">
          <cell r="A175" t="str">
            <v>029/2025</v>
          </cell>
          <cell r="B175">
            <v>2740046.4</v>
          </cell>
          <cell r="C175" t="str">
            <v>DO</v>
          </cell>
          <cell r="D175" t="str">
            <v>BAUMINAS QUIMICA N-NE LTDA</v>
          </cell>
          <cell r="E175" t="str">
            <v>Fornecimento com entrega de 1.239.840 Kg de policloreto de alumínio para atender a uma etapa do processo de produção de água nas instalações da CAEMA – LOTE 11: São Luís (Sacavém). Inclui também o fornecimento de tanques de armazenamento com bombas para o transporte do produto e conjuntos de bombas dosadoras em comodato, tanto em São Luís quanto no interior do Estado do Maranhão.</v>
          </cell>
          <cell r="F175" t="str">
            <v>Licitação Eletrônica n.º 024/2024-PRL/CAEMA</v>
          </cell>
          <cell r="G175" t="str">
            <v>23.647.365/0008-84</v>
          </cell>
          <cell r="K175">
            <v>46486</v>
          </cell>
          <cell r="L175">
            <v>46851</v>
          </cell>
          <cell r="M175">
            <v>865</v>
          </cell>
        </row>
        <row r="176">
          <cell r="A176" t="str">
            <v>015/2024</v>
          </cell>
          <cell r="B176" t="str">
            <v>POR DEMANDA</v>
          </cell>
          <cell r="C176" t="str">
            <v>DG</v>
          </cell>
          <cell r="D176" t="str">
            <v>GUSTAVO MARTINS ROCHA</v>
          </cell>
          <cell r="E176" t="str">
            <v>Execução dos serviços de leiloeiros oficial para alienação de bens móveis inservíveis de propriedade da  CAEMA</v>
          </cell>
          <cell r="F176" t="str">
            <v>CREDENCIAMENTO  N° 01/2022</v>
          </cell>
          <cell r="G176" t="str">
            <v>085.248.657-09</v>
          </cell>
          <cell r="K176">
            <v>45765</v>
          </cell>
          <cell r="L176">
            <v>46130</v>
          </cell>
          <cell r="M176">
            <v>144</v>
          </cell>
        </row>
        <row r="177">
          <cell r="A177" t="str">
            <v>045/2025</v>
          </cell>
          <cell r="B177">
            <v>15028153.6</v>
          </cell>
          <cell r="C177" t="str">
            <v>DO</v>
          </cell>
          <cell r="D177" t="str">
            <v xml:space="preserve">SABARÁ QUIMICOS E INGREDIENTES </v>
          </cell>
          <cell r="E177" t="str">
            <v>prestação de serviços de dosagem de cloro gasoso liquefeito, com o fornecimento do produto em cilindros de 68 kg e 900 kg, conforme as necessidades da contratante.</v>
          </cell>
          <cell r="F177" t="str">
            <v>Licitação Eletrônica n.º 010/2025-PRL/CAEMA</v>
          </cell>
          <cell r="G177" t="str">
            <v>12.884.672/0001-96</v>
          </cell>
          <cell r="K177">
            <v>45819</v>
          </cell>
          <cell r="L177">
            <v>46184</v>
          </cell>
          <cell r="M177">
            <v>198</v>
          </cell>
        </row>
        <row r="178">
          <cell r="A178" t="str">
            <v>046/2025</v>
          </cell>
          <cell r="B178">
            <v>49655</v>
          </cell>
          <cell r="C178" t="str">
            <v>DG</v>
          </cell>
          <cell r="D178" t="str">
            <v>ALFAPEOPLE DO BRASIL CONSULTORIA DE INFORMÁTICA</v>
          </cell>
          <cell r="E178" t="str">
            <v>serviço comum consistente no fornecimento de 50 (cinquenta) licenças de uso de software na nuvem (Software as a Service - SaaS) de Business Intelligence (BI) por meio da suíte Microsoft Power BI na sua versão PRO e 01 (uma) licença do referido software na sua versão PREMIUM,</v>
          </cell>
          <cell r="F178" t="str">
            <v>Dispensa de Licitação</v>
          </cell>
          <cell r="G178" t="str">
            <v>07.099.365/0001-64</v>
          </cell>
          <cell r="K178">
            <v>45811</v>
          </cell>
          <cell r="L178">
            <v>46176</v>
          </cell>
          <cell r="M178">
            <v>190</v>
          </cell>
        </row>
        <row r="179">
          <cell r="A179" t="str">
            <v>051/2025</v>
          </cell>
          <cell r="B179">
            <v>54474</v>
          </cell>
          <cell r="C179" t="str">
            <v>DG</v>
          </cell>
          <cell r="D179" t="str">
            <v>CALIMAX EQUIPAMENTOS E SERVIÇOS LTDA</v>
          </cell>
          <cell r="E179" t="str">
            <v>O presente Contrato tem por objeto contratação de empresa especializada na prestação de serviços relacionados a extintores, incluindo recarga, testes hidrostáticos, reposição de peças, em conformidade com as normas técnicas vigentes (ABNT/INMETRO)</v>
          </cell>
          <cell r="F179" t="str">
            <v>Dispensa de Licitação</v>
          </cell>
          <cell r="G179" t="str">
            <v>01.841.416/0001-03</v>
          </cell>
          <cell r="H179" t="str">
            <v>Portaria 375/2025</v>
          </cell>
          <cell r="I179" t="str">
            <v>Fernando José Barreto Bittencourt</v>
          </cell>
          <cell r="J179" t="str">
            <v>Dione Sousa Margon Boaz</v>
          </cell>
          <cell r="K179">
            <v>45654</v>
          </cell>
          <cell r="L179">
            <v>46019</v>
          </cell>
          <cell r="M179">
            <v>33</v>
          </cell>
        </row>
        <row r="180">
          <cell r="A180" t="str">
            <v>052/2025</v>
          </cell>
          <cell r="B180">
            <v>52202.99</v>
          </cell>
          <cell r="C180" t="str">
            <v>DG</v>
          </cell>
          <cell r="D180" t="str">
            <v>S R F SANTOS LTDA</v>
          </cell>
          <cell r="E180" t="str">
            <v>o fornecimento com entrega de móveis, utensílios e equipamentos a serem utilizados em diversas áreas da CAEMA</v>
          </cell>
          <cell r="F180" t="str">
            <v>Licitação Eletrônica n.º 017/2024-PRL/CAEMA</v>
          </cell>
          <cell r="G180" t="str">
            <v>19.681.524/0001-13</v>
          </cell>
          <cell r="H180" t="str">
            <v>Portaria 376/2025</v>
          </cell>
          <cell r="I180" t="str">
            <v>Edjunior de Abreu Mendes</v>
          </cell>
          <cell r="J180" t="str">
            <v>Adonias Lima Coelho</v>
          </cell>
          <cell r="K180">
            <v>45654</v>
          </cell>
          <cell r="L180">
            <v>46019</v>
          </cell>
          <cell r="M180">
            <v>33</v>
          </cell>
        </row>
        <row r="181">
          <cell r="A181" t="str">
            <v>053/2025</v>
          </cell>
          <cell r="B181" t="str">
            <v xml:space="preserve">POR DEMANDA </v>
          </cell>
          <cell r="C181" t="str">
            <v>DG</v>
          </cell>
          <cell r="D181" t="str">
            <v>BANCO BRADESCO S/A</v>
          </cell>
          <cell r="E181" t="str">
            <v>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v>
          </cell>
          <cell r="F181" t="str">
            <v>Credencaimento</v>
          </cell>
          <cell r="G181" t="str">
            <v>60.746.948/0001-12</v>
          </cell>
          <cell r="H181" t="str">
            <v>Portaria 377/2025</v>
          </cell>
          <cell r="I181" t="str">
            <v>Rosenete Correa de Abreu</v>
          </cell>
          <cell r="J181" t="str">
            <v>Nery de Jesus Maranhão Cardoso</v>
          </cell>
          <cell r="K181">
            <v>45838</v>
          </cell>
          <cell r="L181">
            <v>46203</v>
          </cell>
          <cell r="M181">
            <v>217</v>
          </cell>
        </row>
        <row r="182">
          <cell r="A182" t="str">
            <v>058/2025</v>
          </cell>
          <cell r="B182">
            <v>58320</v>
          </cell>
          <cell r="C182" t="str">
            <v>DG</v>
          </cell>
          <cell r="D182" t="str">
            <v>INSTITUTO EUVALDO LODI NUCLEO REGIONAL - IEL</v>
          </cell>
          <cell r="E182" t="str">
            <v>contratação de empresa especializada em gerenciamento de Programas de Estágio, atendendo as definições, condições e especificações inseridas pela Lei nº 11.788/08, no Decreto nº 37.746/2022.</v>
          </cell>
          <cell r="F182" t="str">
            <v>Dispensa de Licitação</v>
          </cell>
          <cell r="G182" t="str">
            <v>06.303.549/0001-31</v>
          </cell>
          <cell r="H182" t="str">
            <v>Portaria 378/2025</v>
          </cell>
          <cell r="I182" t="str">
            <v>Danilo Soares Serra Gaioso</v>
          </cell>
          <cell r="J182" t="str">
            <v>Mariana Zelia Oliveira Silva</v>
          </cell>
          <cell r="K182">
            <v>45840</v>
          </cell>
          <cell r="L182">
            <v>46205</v>
          </cell>
          <cell r="M182">
            <v>219</v>
          </cell>
        </row>
        <row r="183">
          <cell r="A183" t="str">
            <v>049/2025</v>
          </cell>
          <cell r="B183">
            <v>633343.27</v>
          </cell>
          <cell r="C183" t="str">
            <v>DE</v>
          </cell>
          <cell r="D183" t="str">
            <v>PALMARES CONSTRUÇÕES LTDA</v>
          </cell>
          <cell r="E183" t="str">
            <v>perfuração de 01 (um) poço tubular, no Município de Coroatá/MA</v>
          </cell>
          <cell r="F183" t="str">
            <v>(Pregão Eletrônico n.º 024/2023-PRE/CAEMA</v>
          </cell>
          <cell r="G183" t="str">
            <v>11.302.593/0001-67</v>
          </cell>
          <cell r="H183" t="str">
            <v>Portaria 336/2025</v>
          </cell>
          <cell r="I183" t="str">
            <v>Sandro Sávio Soares Fonseca</v>
          </cell>
          <cell r="J183" t="str">
            <v>Daiane Volff Ferreira</v>
          </cell>
          <cell r="K183">
            <v>45732</v>
          </cell>
          <cell r="L183">
            <v>46097</v>
          </cell>
          <cell r="M183">
            <v>111</v>
          </cell>
        </row>
        <row r="184">
          <cell r="A184" t="str">
            <v>047/2025</v>
          </cell>
          <cell r="B184">
            <v>521418.72</v>
          </cell>
          <cell r="C184" t="str">
            <v>DG</v>
          </cell>
          <cell r="D184" t="str">
            <v>CLARO S.A</v>
          </cell>
          <cell r="E184" t="str">
            <v>Empresa prestadora de Serviço de Telefonia Móvel Pessoal (SMP), legalmente autorizada pela Agência Nacional de Telecomunicações – ANATEL</v>
          </cell>
          <cell r="F184" t="str">
            <v>Inexibilidade de licitação</v>
          </cell>
          <cell r="G184" t="str">
            <v>40.432.544/0245-93</v>
          </cell>
          <cell r="H184" t="str">
            <v>Portaria 346/2025</v>
          </cell>
          <cell r="I184" t="str">
            <v>Talyane Andrade de Matos</v>
          </cell>
          <cell r="J184" t="str">
            <v>Edjunior de Abreu Mendes</v>
          </cell>
          <cell r="K184">
            <v>45823</v>
          </cell>
          <cell r="L184">
            <v>46188</v>
          </cell>
          <cell r="M184">
            <v>202</v>
          </cell>
          <cell r="S184">
            <v>180</v>
          </cell>
        </row>
        <row r="185">
          <cell r="A185" t="str">
            <v>048/2025</v>
          </cell>
          <cell r="B185">
            <v>4176999.96</v>
          </cell>
          <cell r="C185" t="str">
            <v>DG</v>
          </cell>
          <cell r="D185" t="str">
            <v>LOCAMIL SERVIÇOS LTDA</v>
          </cell>
          <cell r="E185" t="str">
            <v>Contratação de empresa especializada para locação de motocicletas e veiculos tipo hatch, pick-up média e pick-up compacta, sem motorista e sem combustível.</v>
          </cell>
          <cell r="F185" t="str">
            <v>Licitação Eletrônica n.º 029/2024-PRL/CAEMA</v>
          </cell>
          <cell r="G185" t="str">
            <v>02743288/0001-10</v>
          </cell>
          <cell r="H185" t="str">
            <v>Portaria 444/2025</v>
          </cell>
          <cell r="I185" t="str">
            <v>Adonias Lima Coelho</v>
          </cell>
          <cell r="J185" t="str">
            <v>Jurandir Pereira da Silva</v>
          </cell>
          <cell r="K185">
            <v>45832</v>
          </cell>
          <cell r="L185">
            <v>46197</v>
          </cell>
          <cell r="M185">
            <v>211</v>
          </cell>
          <cell r="S185">
            <v>45943</v>
          </cell>
        </row>
        <row r="186">
          <cell r="A186" t="str">
            <v>050/2025</v>
          </cell>
          <cell r="B186">
            <v>134445.85999999999</v>
          </cell>
          <cell r="C186" t="str">
            <v>DG</v>
          </cell>
          <cell r="D186" t="str">
            <v xml:space="preserve">FLORIANRIUS </v>
          </cell>
          <cell r="E186" t="str">
            <v>Fornecimento com entrega de móveis, utensílios e equipamentos a serem utilizados em diversas áreas da CAEMA</v>
          </cell>
          <cell r="F186" t="str">
            <v>Licitação Eletrônica n. º 017/2024-PRL/CAEMA – ARP Nº 010/2025</v>
          </cell>
          <cell r="G186" t="str">
            <v>2.426.141/0001-81</v>
          </cell>
          <cell r="H186" t="str">
            <v>Portaria 351/2025</v>
          </cell>
          <cell r="I186" t="str">
            <v>Talyane Andrade de Matos</v>
          </cell>
          <cell r="J186" t="str">
            <v>Edjunior de Abreu Mendes</v>
          </cell>
          <cell r="K186">
            <v>46014</v>
          </cell>
          <cell r="L186">
            <v>46379</v>
          </cell>
          <cell r="M186">
            <v>393</v>
          </cell>
        </row>
        <row r="187">
          <cell r="A187" t="str">
            <v>055/2025</v>
          </cell>
          <cell r="B187" t="str">
            <v>POR DEMANDA</v>
          </cell>
          <cell r="C187" t="str">
            <v>DG</v>
          </cell>
          <cell r="D187" t="str">
            <v>CAIXA ECONOMICA FEDERAL</v>
          </cell>
          <cell r="E187" t="str">
            <v>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 conforme Termo de Referência e demais normas estabelecidas no Regulamento do Credenciamento e Processo supra mencionado, que passa a integrar este instrumento, independentemente de transcrição.</v>
          </cell>
          <cell r="F187" t="str">
            <v>Credenciamento n.º 001/2025-PRL/CAEMA</v>
          </cell>
          <cell r="G187" t="str">
            <v>00.360.305/0001-04</v>
          </cell>
          <cell r="K187">
            <v>45848</v>
          </cell>
          <cell r="L187">
            <v>46213</v>
          </cell>
          <cell r="M187">
            <v>227</v>
          </cell>
        </row>
        <row r="188">
          <cell r="A188" t="str">
            <v>056/2025</v>
          </cell>
          <cell r="B188">
            <v>691799.9</v>
          </cell>
          <cell r="C188" t="str">
            <v>DG</v>
          </cell>
          <cell r="D188" t="str">
            <v>PREVEN CLIN LTDA</v>
          </cell>
          <cell r="E188" t="str">
            <v>Prestação de serviços contínuos em medicina do trabalho e saúde ocupacional, conforme especificações, quantitativos e condições do Termo de Referência, Anexo I deste Edital.</v>
          </cell>
          <cell r="F188" t="str">
            <v>Licitação Eletrônica n. º 005/2025-PRL/CAEMA</v>
          </cell>
          <cell r="G188" t="str">
            <v>43.453.808/0001-37</v>
          </cell>
          <cell r="H188" t="str">
            <v>Portaria 399/2025</v>
          </cell>
          <cell r="I188" t="str">
            <v>Fernando José Barreto Bittencourt</v>
          </cell>
          <cell r="J188" t="str">
            <v>Tânia de Jesus Cantanhede de Araújo</v>
          </cell>
          <cell r="K188">
            <v>45846</v>
          </cell>
          <cell r="L188">
            <v>46211</v>
          </cell>
          <cell r="M188">
            <v>225</v>
          </cell>
        </row>
        <row r="189">
          <cell r="A189" t="str">
            <v>059/2025</v>
          </cell>
          <cell r="B189">
            <v>300000</v>
          </cell>
          <cell r="C189" t="str">
            <v>DG</v>
          </cell>
          <cell r="D189" t="str">
            <v>MARANHÃO PARCERIAS MAPA</v>
          </cell>
          <cell r="E189" t="str">
            <v>O presente contrato tem por objeto a contratação de Empresa especializada para a prestação de serviços de mobilidade urbana, por meio de plataforma digital integrada, visando ao deslocamento institucional dos empregados da Companhia de Saneamento Ambiental do Maranhão – CAEMA, com gestão operacional, controle por aplicativo e monitoramento via sistema gerencial.</v>
          </cell>
          <cell r="F189" t="str">
            <v>DISPENSA DE LICITAÇÃO</v>
          </cell>
          <cell r="G189" t="str">
            <v>06.281.794/0001-95</v>
          </cell>
          <cell r="H189" t="str">
            <v>Portaria 404/2025</v>
          </cell>
          <cell r="I189" t="str">
            <v>Eurico Alves da Silva Filho</v>
          </cell>
          <cell r="J189" t="str">
            <v>Adonias Lima Coelho</v>
          </cell>
          <cell r="K189">
            <v>45845</v>
          </cell>
          <cell r="L189">
            <v>46210</v>
          </cell>
          <cell r="M189">
            <v>224</v>
          </cell>
        </row>
        <row r="190">
          <cell r="A190" t="str">
            <v>061/2025</v>
          </cell>
          <cell r="B190">
            <v>520763.07</v>
          </cell>
          <cell r="C190" t="str">
            <v>DE</v>
          </cell>
          <cell r="D190" t="str">
            <v>PALMARES CONSTRUÇÕES LTDA</v>
          </cell>
          <cell r="E190" t="str">
            <v>Perfuração de 01 (um) poço tubular, no Município de Olho D’Água das Cunhãs/MA</v>
          </cell>
          <cell r="F190" t="str">
            <v>Pregão Eletrônico n.º 024/2023-PRE/CAEMA – ARP 020/2023</v>
          </cell>
          <cell r="G190" t="str">
            <v>11.302.593/0001-67</v>
          </cell>
          <cell r="H190" t="str">
            <v>Portaria 435/2025</v>
          </cell>
          <cell r="I190" t="str">
            <v>Sandro Sávio Soares Fonseca</v>
          </cell>
          <cell r="J190" t="str">
            <v>Daiane Volff Ferreira</v>
          </cell>
          <cell r="K190">
            <v>45771</v>
          </cell>
          <cell r="L190">
            <v>46136</v>
          </cell>
          <cell r="M190">
            <v>150</v>
          </cell>
        </row>
        <row r="191">
          <cell r="A191" t="str">
            <v>062/2025</v>
          </cell>
          <cell r="B191">
            <v>23040</v>
          </cell>
          <cell r="C191" t="str">
            <v>DG</v>
          </cell>
          <cell r="D191" t="str">
            <v>ALFA ENGENHARIA DE INFORMÁTICA</v>
          </cell>
          <cell r="E191" t="str">
            <v>Aquisição de 32 baterias estacionárias de 70 amperes por 12 volts, que substituirão as que estão sendo usadas atualmente no nobreak SMS de 40 KVA de potência, responsável pela manutenção da geração elétrica do nosso Datacenter.</v>
          </cell>
          <cell r="F191" t="str">
            <v>DISPENSA DE LICITAÇÃO</v>
          </cell>
          <cell r="G191" t="str">
            <v>00.252.212/0001-66</v>
          </cell>
          <cell r="H191" t="str">
            <v>Portaria 434/2025</v>
          </cell>
          <cell r="I191" t="str">
            <v>Eliernandes Mendes Rodrigues</v>
          </cell>
          <cell r="J191" t="str">
            <v>Clauber José Muniz</v>
          </cell>
          <cell r="K191">
            <v>45678</v>
          </cell>
          <cell r="L191">
            <v>46043</v>
          </cell>
          <cell r="M191">
            <v>57</v>
          </cell>
        </row>
        <row r="192">
          <cell r="A192" t="str">
            <v>063/2025</v>
          </cell>
          <cell r="B192">
            <v>23040</v>
          </cell>
          <cell r="C192" t="str">
            <v>DG - LOCAÇÃO</v>
          </cell>
          <cell r="D192" t="str">
            <v>MARTA ANDRE COSTA (ICATU)</v>
          </cell>
          <cell r="E192" t="str">
            <v>Locação o imóvel situado na Rua Barão do Rio Branco, nº 175, centro, Município de ICATU/MA, para funcionamento do Escritório Local, pelo prazo de 24 (vinte e quatro) meses, com vigência a partir da data de assinatura do presente Instrumento.</v>
          </cell>
          <cell r="F192" t="str">
            <v>ADITIVO I</v>
          </cell>
          <cell r="G192" t="str">
            <v>009.563.853-97</v>
          </cell>
          <cell r="H192" t="str">
            <v>Portaria 441/2025</v>
          </cell>
          <cell r="I192" t="str">
            <v>Cleison Gomes de Sá</v>
          </cell>
          <cell r="J192" t="str">
            <v>Marcelo Costa Oliveira</v>
          </cell>
          <cell r="K192">
            <v>46220</v>
          </cell>
          <cell r="L192">
            <v>46585</v>
          </cell>
          <cell r="M192">
            <v>599</v>
          </cell>
        </row>
        <row r="193">
          <cell r="A193" t="str">
            <v>064/2025</v>
          </cell>
          <cell r="B193">
            <v>726025.7</v>
          </cell>
          <cell r="C193" t="str">
            <v>DE</v>
          </cell>
          <cell r="D193" t="str">
            <v>PALMARES CONSTRUÇÕES LTDA</v>
          </cell>
          <cell r="E193" t="str">
            <v>O objeto do presente Termo de Contrato é a perfuração de 01 (um) poço tubular profundo, no Município de Zé Doca/MA: 8” X 200M</v>
          </cell>
          <cell r="F193" t="str">
            <v>CONTRATAÇÃO DE SERVIÇO</v>
          </cell>
          <cell r="G193" t="str">
            <v>11.302.593/0001-67</v>
          </cell>
          <cell r="H193" t="str">
            <v>Portaria 431/2025</v>
          </cell>
          <cell r="I193" t="str">
            <v>Sandro Sávio Soares Fonseca</v>
          </cell>
          <cell r="J193" t="str">
            <v>Daiane Volff Ferreira</v>
          </cell>
          <cell r="K193">
            <v>45777</v>
          </cell>
          <cell r="L193">
            <v>46142</v>
          </cell>
          <cell r="M193">
            <v>156</v>
          </cell>
        </row>
        <row r="194">
          <cell r="A194" t="str">
            <v>065/2025</v>
          </cell>
          <cell r="B194">
            <v>386516.3</v>
          </cell>
          <cell r="C194" t="str">
            <v>DE</v>
          </cell>
          <cell r="D194" t="str">
            <v xml:space="preserve">BATALHA CONSTRUÇÃO LTDA </v>
          </cell>
          <cell r="E194" t="str">
            <v>Execução dos serviços específicos de engenharia e hidrogeologia, para perfuração de 01 (um) poço tubular profundo no bairro Bom Jesus, do Sistema de Abastecimento do Município de São Luís/MA.</v>
          </cell>
          <cell r="F194" t="str">
            <v>PREGÃO ELETRÔNICO Nº 024/2023 - PRE/CAEMA, ATA DE REGISTRO DE PREÇOS N.º 021/2023 – CAEMA</v>
          </cell>
          <cell r="G194" t="str">
            <v>07.908.484/0001-10</v>
          </cell>
          <cell r="H194" t="str">
            <v>Portaria 432/2025</v>
          </cell>
          <cell r="I194" t="str">
            <v>Sandro Sávio Soares Fonseca</v>
          </cell>
          <cell r="J194" t="str">
            <v>Daiane Volff Ferreira</v>
          </cell>
          <cell r="K194">
            <v>45681</v>
          </cell>
          <cell r="L194">
            <v>46046</v>
          </cell>
          <cell r="M194">
            <v>60</v>
          </cell>
        </row>
        <row r="195">
          <cell r="A195" t="str">
            <v>066/2025</v>
          </cell>
          <cell r="B195">
            <v>1531183.69</v>
          </cell>
          <cell r="C195" t="str">
            <v>DE</v>
          </cell>
          <cell r="D195" t="str">
            <v>HIDREL ENGENHARIA LTDA</v>
          </cell>
          <cell r="E195" t="str">
            <v>Prestação de serviços comuns de engenharia e hidrogeologia em 03 (três) poços no município de Esperantinópolis e 03 (três) poços no município de Poção de Pedras.</v>
          </cell>
          <cell r="F195" t="str">
            <v>ARP n° 019/2023 – CAEMA - Pregão Eletrônico N.º 024/2023-PRE/CAEMA</v>
          </cell>
          <cell r="G195" t="str">
            <v>73.864.233/0001-06</v>
          </cell>
          <cell r="H195" t="str">
            <v>Portaria 433/2025</v>
          </cell>
          <cell r="I195" t="str">
            <v>Sandro Sávio Soares Fonseca</v>
          </cell>
          <cell r="J195" t="str">
            <v>Daiane Volff Ferreira</v>
          </cell>
          <cell r="K195">
            <v>45777</v>
          </cell>
          <cell r="L195">
            <v>46142</v>
          </cell>
          <cell r="M195">
            <v>156</v>
          </cell>
        </row>
        <row r="196">
          <cell r="A196" t="str">
            <v>067/2025</v>
          </cell>
          <cell r="B196">
            <v>614155.52000000002</v>
          </cell>
          <cell r="C196" t="str">
            <v>DE</v>
          </cell>
          <cell r="D196" t="str">
            <v>SÓ POÇOS CONSTRUÇÕES EIRELI</v>
          </cell>
          <cell r="E196" t="str">
            <v>Execução dos serviços específicos de engenharia e hidrogeologia, para perfuração de 01 (um) poço tubular profundo no Sistema de Abastecimento do Município de Açailândia/MA, pertencente à Gerência de Imperatriz/MA (Lote 04)</v>
          </cell>
          <cell r="F196" t="str">
            <v>PREGÃO ELETRÔNICO Nº 024/2023 - PRE/CAEMA, ATA DE REGISTRO DE PREÇOS N.º 022/2023 – CAEMA</v>
          </cell>
          <cell r="G196" t="str">
            <v>06.922.664.0001-94</v>
          </cell>
          <cell r="K196">
            <v>45771</v>
          </cell>
          <cell r="L196">
            <v>46136</v>
          </cell>
          <cell r="M196">
            <v>150</v>
          </cell>
        </row>
        <row r="197">
          <cell r="A197" t="str">
            <v>068/2025</v>
          </cell>
          <cell r="B197">
            <v>385800</v>
          </cell>
          <cell r="C197" t="str">
            <v>DG</v>
          </cell>
          <cell r="D197" t="str">
            <v>TRANSPORTES REQUINTE LTDA</v>
          </cell>
          <cell r="E197" t="str">
            <v>Contratação de empresa especializada para locação de 02(dois) ônibus para transporte coletivo de passageiros para o Sistema Produtor Italuís, sendo um ônibus rodoviário com capacidade para 44 (quarenta e quatro) passageiros e um micro-ônibus rodoviário com capacidade para 24 (vinte e quatro) passageiros, a fim de atender a demanda de deslocamento dos colaboradores da CAEMA.</v>
          </cell>
          <cell r="F197" t="str">
            <v>DISPENSA DE LICITAÇÃO</v>
          </cell>
          <cell r="G197" t="str">
            <v>06.077.708/0001-27</v>
          </cell>
          <cell r="H197" t="str">
            <v>Portaria 445/2025</v>
          </cell>
          <cell r="I197" t="str">
            <v>Adonias Lima Coelho</v>
          </cell>
          <cell r="J197" t="str">
            <v>Jurandir Pereira da Silva</v>
          </cell>
          <cell r="K197">
            <v>45592</v>
          </cell>
          <cell r="L197">
            <v>45957</v>
          </cell>
          <cell r="M197" t="e">
            <v>#NUM!</v>
          </cell>
        </row>
        <row r="198">
          <cell r="A198" t="str">
            <v>076/2024</v>
          </cell>
          <cell r="B198">
            <v>631739.76</v>
          </cell>
          <cell r="C198" t="str">
            <v>DO</v>
          </cell>
          <cell r="D198" t="str">
            <v>CENTRO DE BIOLOGIA EXPERIMENTAL OCEANUS</v>
          </cell>
          <cell r="E198" t="str">
            <v>Prestação de serviços de coleta, acondicionamento, transporte e ensaios físicos, químicos e microbiológicos dos afluentes e efluentes das estações de tratamento de esgotos de São Luís e Interior/MA</v>
          </cell>
          <cell r="F198" t="str">
            <v>Licitação Eletrônica n. º 013/2024-PRL/CAEMA</v>
          </cell>
          <cell r="G198" t="str">
            <v>28.383.198/0001-59</v>
          </cell>
          <cell r="H198" t="str">
            <v>Portaria 163/2025</v>
          </cell>
          <cell r="I198" t="str">
            <v>Karines Gomes Ericeira</v>
          </cell>
          <cell r="J198" t="str">
            <v>Jeanne Cruz Mendes Gonçalves/ James Vasconcelos da Silva/ Raimundo Marcio Sousa Simões/ Igor Pinto Souza</v>
          </cell>
          <cell r="K198">
            <v>45756</v>
          </cell>
          <cell r="L198">
            <v>46121</v>
          </cell>
          <cell r="M198">
            <v>135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RAL"/>
      <sheetName val="DETALHADA"/>
      <sheetName val="EDJUNIOR LINDO &lt;3"/>
    </sheetNames>
    <sheetDataSet>
      <sheetData sheetId="0"/>
      <sheetData sheetId="1">
        <row r="1">
          <cell r="A1" t="str">
            <v>CT</v>
          </cell>
          <cell r="B1" t="str">
            <v>DIRETORIA</v>
          </cell>
          <cell r="C1" t="str">
            <v>CONTRATADA</v>
          </cell>
          <cell r="D1" t="str">
            <v>OBJETO</v>
          </cell>
          <cell r="E1" t="str">
            <v>MODALIDADE</v>
          </cell>
          <cell r="F1" t="str">
            <v>CNPJ/CPF</v>
          </cell>
          <cell r="G1" t="str">
            <v>PORTARIA</v>
          </cell>
          <cell r="H1" t="str">
            <v>GESTOR</v>
          </cell>
          <cell r="I1" t="str">
            <v>FISCAL</v>
          </cell>
          <cell r="J1" t="str">
            <v>DATA VIGÊNCIA</v>
          </cell>
          <cell r="K1" t="str">
            <v>DIAS PARA VENCER</v>
          </cell>
          <cell r="L1" t="str">
            <v>09/06/2025</v>
          </cell>
        </row>
        <row r="2">
          <cell r="A2" t="str">
            <v>074/2024</v>
          </cell>
          <cell r="B2" t="str">
            <v>DC</v>
          </cell>
          <cell r="C2" t="str">
            <v xml:space="preserve">EDIFICARE EMPRESA JUNIOR </v>
          </cell>
          <cell r="D2" t="str">
            <v xml:space="preserve">Contratação de uma empresa especializada para realizar a obtenção de arquivos vetoriais de pontos, linhas e polígonos através do Sistema de Informação Geográfica (QGIS) é fundamental para o aprimoramento e modernização da gestão de quadras, lotes, rotas de leitura e georreferenciamento de clientes.
</v>
          </cell>
          <cell r="E2" t="str">
            <v>DISPENSA DE LICITAÇÃO
N° 033/2024</v>
          </cell>
          <cell r="F2" t="str">
            <v>26.000.397/0001-05</v>
          </cell>
          <cell r="G2" t="str">
            <v>Portaria 074/2024</v>
          </cell>
          <cell r="H2" t="str">
            <v>Ana Paula Frazão Campos Silva</v>
          </cell>
          <cell r="I2" t="str">
            <v>Gleison Andrade Campos</v>
          </cell>
          <cell r="J2">
            <v>46003</v>
          </cell>
          <cell r="K2">
            <v>120</v>
          </cell>
        </row>
        <row r="3">
          <cell r="A3" t="str">
            <v>033/2020</v>
          </cell>
          <cell r="B3" t="str">
            <v>DG</v>
          </cell>
          <cell r="C3" t="str">
            <v>CLARO S/A</v>
          </cell>
          <cell r="D3" t="str">
            <v>Contratação de empresa especializada para o fornecimento de solução com implantação, operacionalização, gerenciamento e manutenção de serviços de telecomunicações, exclusivamente o LOTE 03 – serviço móvel (SMP), item 1 – telefone móvel com internet</v>
          </cell>
          <cell r="E3" t="str">
            <v xml:space="preserve">ADESÃO À ATA DE REGISTRO DE PREÇO 18/2019 - DESO </v>
          </cell>
          <cell r="F3" t="str">
            <v>40.432.544/0001-47</v>
          </cell>
          <cell r="J3" t="e">
            <v>#N/A</v>
          </cell>
          <cell r="K3" t="e">
            <v>#N/A</v>
          </cell>
        </row>
        <row r="4">
          <cell r="A4" t="str">
            <v>041/2020</v>
          </cell>
          <cell r="B4" t="str">
            <v>DG</v>
          </cell>
          <cell r="C4" t="str">
            <v>CORREIOS E TELEGRAFOS</v>
          </cell>
          <cell r="D4" t="str">
            <v xml:space="preserve">Prestação de serviço pelos CORREIOS, de  serviços  e  venda  de  produtos,  que  atendam  às  necessidades da Caema, mediante adesão aos anexos deste Ins-trumento Contratual que, individualmente, caracteriza cada modalidade  envolvida.  </v>
          </cell>
          <cell r="E4" t="str">
            <v>Inexigibilidade de Licitação</v>
          </cell>
          <cell r="F4" t="str">
            <v>34.028.316/0034-71</v>
          </cell>
          <cell r="J4" t="e">
            <v>#N/A</v>
          </cell>
          <cell r="K4" t="e">
            <v>#N/A</v>
          </cell>
        </row>
        <row r="5">
          <cell r="A5" t="str">
            <v>072/2024</v>
          </cell>
          <cell r="B5" t="str">
            <v>DO</v>
          </cell>
          <cell r="C5" t="str">
            <v xml:space="preserve">TRAEL TRANSFORMADORES ELETRONICOS LTDA </v>
          </cell>
          <cell r="D5" t="str">
            <v xml:space="preserve">Contratação Emergencial para aquisição de 02(dois) Transformadores de Potência 1.500 kVA; 13.8kV/4,16 kV; refrigerado a óleo mineral;enrolamento primário e secundário de cobre, para atender a Estação Elevatória de Água Tratada/EEAT do Sistema ITALUIS.
</v>
          </cell>
          <cell r="E5" t="str">
            <v>DISPENSA DE LICITAÇÃO
N° 038/2024</v>
          </cell>
          <cell r="F5" t="str">
            <v>37.457.942/0001-03</v>
          </cell>
          <cell r="J5" t="e">
            <v>#N/A</v>
          </cell>
          <cell r="K5" t="e">
            <v>#N/A</v>
          </cell>
        </row>
        <row r="6">
          <cell r="A6" t="str">
            <v>100/2023</v>
          </cell>
          <cell r="B6" t="str">
            <v>DE</v>
          </cell>
          <cell r="C6" t="str">
            <v>FAPEAD</v>
          </cell>
          <cell r="D6" t="str">
            <v>Execução dos serviços especializadospara execução e atividades do programa de trabalho social - PTS no Município de Chapadinha/MA</v>
          </cell>
          <cell r="E6" t="str">
            <v>DISPENSA DE LICITAÇÃO 032/2023</v>
          </cell>
          <cell r="F6">
            <v>6145017000113</v>
          </cell>
          <cell r="J6" t="e">
            <v>#N/A</v>
          </cell>
          <cell r="K6" t="e">
            <v>#N/A</v>
          </cell>
        </row>
        <row r="7">
          <cell r="A7" t="str">
            <v>010/2024</v>
          </cell>
          <cell r="B7" t="str">
            <v>DE</v>
          </cell>
          <cell r="C7" t="str">
            <v>PALMARES CONSTRUÇÕES LTDA</v>
          </cell>
          <cell r="D7" t="str">
            <v xml:space="preserve">Execução dos serviços de perfuração de 01 (um) poço tubular profundo, no município de Chapadinha/MA: (LOTE 2) 8`` X 150 M. </v>
          </cell>
          <cell r="E7" t="str">
            <v>PREGÃO ELETRÔNICO 024/2023 ARP 020/2023 - CAEMA</v>
          </cell>
          <cell r="F7" t="str">
            <v>11302593000167</v>
          </cell>
          <cell r="J7">
            <v>46100</v>
          </cell>
          <cell r="K7">
            <v>217</v>
          </cell>
        </row>
        <row r="8">
          <cell r="A8" t="str">
            <v>023/2024</v>
          </cell>
          <cell r="B8" t="str">
            <v>DG</v>
          </cell>
          <cell r="C8" t="str">
            <v>ADALGISA CRAVO TEIXEIRA LAGIOIA TREINAMENTO</v>
          </cell>
          <cell r="D8" t="str">
            <v xml:space="preserve">Contratação de empresa especializada para a execução de consultoria continuada na área de contabilidade, gestão de sistemas e gestão patrimonial, </v>
          </cell>
          <cell r="E8" t="str">
            <v>INEXIGIBILIDADE DE LICITAÇÃO  N° 002/2024</v>
          </cell>
          <cell r="F8" t="str">
            <v>36.125.431/0001-21</v>
          </cell>
          <cell r="J8">
            <v>46200</v>
          </cell>
          <cell r="K8">
            <v>317</v>
          </cell>
        </row>
        <row r="9">
          <cell r="A9" t="str">
            <v>014/2020</v>
          </cell>
          <cell r="B9" t="str">
            <v>DG</v>
          </cell>
          <cell r="C9" t="str">
            <v>BANCO BRADESCO</v>
          </cell>
          <cell r="D9" t="str">
            <v xml:space="preserve">CREDENCIADA se obriga a prestar o serviço de recebimen-to de faturas de água e esgotamento sanitário, de aproximadamente 534.212 consumidores ativos em todo o Estado do Maranhão, através de sistema informatizado, bem como, o depósito dos valores arrecadados na fatura bancária da CAEMA </v>
          </cell>
          <cell r="E9" t="str">
            <v>Credenciamento</v>
          </cell>
          <cell r="F9" t="str">
            <v>60.746.948/0001-12</v>
          </cell>
          <cell r="J9" t="e">
            <v>#N/A</v>
          </cell>
          <cell r="K9" t="e">
            <v>#N/A</v>
          </cell>
        </row>
        <row r="10">
          <cell r="A10" t="str">
            <v>016/2020</v>
          </cell>
          <cell r="B10" t="str">
            <v>DG</v>
          </cell>
          <cell r="C10" t="str">
            <v>ITAU UNIBANCO</v>
          </cell>
          <cell r="D10" t="str">
            <v xml:space="preserve"> Prestação o serviço de recebimento de faturas de água e esgotamento sanitário, de aproximadamente 534.212 consumidores ativos em todo o Estado do Maranhão, através de sistema informatizado, bem como, o depósito dos valores arrecadados na fatura bancária da CAEMA</v>
          </cell>
          <cell r="E10" t="str">
            <v>Credenciamento</v>
          </cell>
          <cell r="F10" t="str">
            <v>60.701.190/0001-04</v>
          </cell>
          <cell r="J10" t="e">
            <v>#N/A</v>
          </cell>
          <cell r="K10" t="e">
            <v>#N/A</v>
          </cell>
        </row>
        <row r="11">
          <cell r="A11" t="str">
            <v>042/2020</v>
          </cell>
          <cell r="B11" t="str">
            <v>DG</v>
          </cell>
          <cell r="C11" t="str">
            <v>INSTITUTO EUVALDO LODI – IEL, NÚCLEO REGIONAL -</v>
          </cell>
          <cell r="D11" t="str">
            <v xml:space="preserve">Prestação de serviços de gerenciamento  de  Programas  de  Estágio  atendendo  as  definições, condições e especificações inseridas pela Lei nº 11.788/2008 e pela Norma  de  Estágio  da  CAEMA,  para  tanto,  estabelecendo  procedi-mentos  de  inserção  de  estudantes  da  Educação  de  nível  Superior,  Médio ou da Educação Profissional Técnica. </v>
          </cell>
          <cell r="E11" t="str">
            <v>Dispensa de Licitação</v>
          </cell>
          <cell r="F11" t="str">
            <v>06.303.549/0001-31</v>
          </cell>
          <cell r="J11" t="e">
            <v>#N/A</v>
          </cell>
          <cell r="K11" t="e">
            <v>#N/A</v>
          </cell>
        </row>
        <row r="12">
          <cell r="A12" t="str">
            <v>040/2022</v>
          </cell>
          <cell r="B12" t="str">
            <v>DG-LOCAÇÃO</v>
          </cell>
          <cell r="C12" t="str">
            <v>FRANCISCO DE SOUSA (SANTA LUZIA DO PARUA)</v>
          </cell>
          <cell r="D12" t="str">
            <v>Locação do imóvel do Sr. Francisco Sousa no Município de Santa Luzia do Parauá</v>
          </cell>
          <cell r="E12" t="str">
            <v>DISPENSA DE LICITAÇÃO  N° 1</v>
          </cell>
          <cell r="F12" t="str">
            <v>861.699.203-00</v>
          </cell>
          <cell r="J12">
            <v>46206</v>
          </cell>
          <cell r="K12">
            <v>323</v>
          </cell>
        </row>
        <row r="13">
          <cell r="A13" t="str">
            <v>046/2023</v>
          </cell>
          <cell r="B13" t="str">
            <v>DG</v>
          </cell>
          <cell r="C13" t="str">
            <v>MAPA S/A</v>
          </cell>
          <cell r="D13" t="str">
            <v>Serviço de gerenciamento de atividade meio de Mobilidade Urbana, através de transporte por aplicativo.</v>
          </cell>
          <cell r="E13" t="str">
            <v>DISPENSA DE LICITAÇÃO N° 018/2023</v>
          </cell>
          <cell r="F13" t="str">
            <v>06.281.794/0001-95</v>
          </cell>
          <cell r="J13" t="e">
            <v>#N/A</v>
          </cell>
          <cell r="K13" t="e">
            <v>#N/A</v>
          </cell>
        </row>
        <row r="14">
          <cell r="A14" t="str">
            <v>011/2025</v>
          </cell>
          <cell r="B14" t="str">
            <v>DG</v>
          </cell>
          <cell r="C14" t="str">
            <v>AJ SOLUÇÕES</v>
          </cell>
          <cell r="D14" t="str">
            <v xml:space="preserve"> O presente contrato tem por objeto a aquisição de café tradicional e descafeinado, açúcar, filtro descartável para café, mexedor de café, biscoito doce e biscoito água e sal, para atender as necessidades das diretorias e do setor de Desenvolvimento</v>
          </cell>
          <cell r="E14" t="str">
            <v>DISPENSA DE LICITAÇÃO  Nº 011/2025</v>
          </cell>
          <cell r="F14" t="str">
            <v>52.203.400/0001-06</v>
          </cell>
          <cell r="J14" t="e">
            <v>#N/A</v>
          </cell>
          <cell r="K14" t="e">
            <v>#N/A</v>
          </cell>
        </row>
        <row r="15">
          <cell r="A15" t="str">
            <v>041/2022</v>
          </cell>
          <cell r="B15" t="str">
            <v>DC</v>
          </cell>
          <cell r="C15" t="str">
            <v>RIO UNA SERVIÇOS GERAIS EIRELI</v>
          </cell>
          <cell r="D15" t="str">
            <v>Serviços de instalação e substituição de hidro-metros, corte e religação de ramais prediais de água e conserto de vazamentos localizados nos Sistemas de Abastecimento de Água da Região metropolitana de São Luís</v>
          </cell>
          <cell r="E15" t="str">
            <v>PREGÃO ELETRÔNICO N° 023/2022 - PRE/CAEMA</v>
          </cell>
          <cell r="F15" t="str">
            <v>8.488.802/0001-02</v>
          </cell>
          <cell r="J15" t="e">
            <v>#N/A</v>
          </cell>
          <cell r="K15" t="e">
            <v>#N/A</v>
          </cell>
        </row>
        <row r="16">
          <cell r="A16" t="str">
            <v>027/2024</v>
          </cell>
          <cell r="B16" t="str">
            <v>DG</v>
          </cell>
          <cell r="C16" t="str">
            <v xml:space="preserve">ALIANÇA MATERIAIS DE CONSTRUÇÃO LTDA </v>
          </cell>
          <cell r="D16" t="str">
            <v>Aquisição de Material de Limpeza, Capina e Manutenção Preventiva a serem utilizados em diversas áreas desta empresa</v>
          </cell>
          <cell r="E16" t="str">
            <v>Pregão Eletrônico n. º 070/2022-PRL/CAEMA – ARP n° 014/2023-CAEMA</v>
          </cell>
          <cell r="F16" t="str">
            <v>14.298.960/0001-94</v>
          </cell>
          <cell r="J16" t="e">
            <v>#N/A</v>
          </cell>
          <cell r="K16" t="e">
            <v>#N/A</v>
          </cell>
        </row>
        <row r="17">
          <cell r="A17" t="str">
            <v>028/2024</v>
          </cell>
          <cell r="B17" t="str">
            <v>DG</v>
          </cell>
          <cell r="C17" t="str">
            <v>MCA ASSESSORIA, IMPORTAÇÃO E COMERCIO LTDA</v>
          </cell>
          <cell r="D17" t="str">
            <v>Aquisição de Material de Limpeza, Capina e Manutenção Preventiva a serem utilizados em diversas áreas desta empresa.</v>
          </cell>
          <cell r="E17" t="str">
            <v>Pregão Eletrônico n. º 070/2022-PRL/CAEMA – ARP n° 013/2023-CAEMA</v>
          </cell>
          <cell r="F17" t="str">
            <v>42.519.684/0001-82</v>
          </cell>
          <cell r="J17" t="e">
            <v>#N/A</v>
          </cell>
          <cell r="K17" t="e">
            <v>#N/A</v>
          </cell>
        </row>
        <row r="18">
          <cell r="A18" t="str">
            <v>047/2021</v>
          </cell>
          <cell r="B18" t="str">
            <v>DG</v>
          </cell>
          <cell r="C18" t="str">
            <v>CSA CONSULTORIA E SISTEMAS ABERTOS LTDA</v>
          </cell>
          <cell r="D18" t="str">
            <v>Contratação de empresa especializada para a execução de serviços de atualização, manutenção e assistência técnica do Sistema Radar Empresarial módulos Contábil, Conciliação,Compras,Estoque,Financeiro,Adiantamento de Viagems,MT Patrimonial MT Fiscal Arquivos Magneticos  Radar IRPJ Radar Orçamento e Radar Integrador</v>
          </cell>
          <cell r="E18" t="str">
            <v>Inexigibilidade de Licitação</v>
          </cell>
          <cell r="F18" t="str">
            <v>41.490.848/0001-23</v>
          </cell>
          <cell r="J18">
            <v>46215</v>
          </cell>
          <cell r="K18">
            <v>332</v>
          </cell>
        </row>
        <row r="19">
          <cell r="A19" t="str">
            <v>026/2021</v>
          </cell>
          <cell r="B19" t="str">
            <v>DO</v>
          </cell>
          <cell r="C19" t="str">
            <v>PONTO FORTE CONSTRUÇÕES LTDA</v>
          </cell>
          <cell r="D19" t="str">
            <v>Prestação de serviços comuns de engenharia de manutenção de redes e ramais prediais,pequenas ampliações de redes,instalação sibstituição de ramais nos Sistemas de Abastecimento de Água do interior - Gerência de Negócios de Itapecuru Mirim /MA- Lote 02</v>
          </cell>
          <cell r="E19" t="str">
            <v>Pregão Eletrônico nº 051/2020</v>
          </cell>
          <cell r="F19" t="str">
            <v>01.958.324/0001-08</v>
          </cell>
          <cell r="J19">
            <v>46217</v>
          </cell>
          <cell r="K19">
            <v>334</v>
          </cell>
        </row>
        <row r="20">
          <cell r="A20" t="str">
            <v>023/2023</v>
          </cell>
          <cell r="B20" t="str">
            <v>DO</v>
          </cell>
          <cell r="C20" t="str">
            <v>ATLANTIS SANEAMENTO LTDA</v>
          </cell>
          <cell r="D20" t="str">
            <v>Serviços de instalação de hidrômetros no Sistema de Abastecimento de Agua de São Luis em ramais prediais.</v>
          </cell>
          <cell r="E20" t="str">
            <v>Pregão Eletrônico N° 004/2023</v>
          </cell>
          <cell r="F20" t="str">
            <v>00.796.042/0001-80</v>
          </cell>
          <cell r="J20" t="e">
            <v>#N/A</v>
          </cell>
          <cell r="K20" t="e">
            <v>#N/A</v>
          </cell>
        </row>
        <row r="21">
          <cell r="A21" t="str">
            <v>025/2021</v>
          </cell>
          <cell r="B21" t="str">
            <v>DO</v>
          </cell>
          <cell r="C21" t="str">
            <v>PONTO FORTE CONSTRUÇÕES LTDA</v>
          </cell>
          <cell r="D21" t="str">
            <v>Prestação de serviços comuns de engenharia demanutenção de redes e ramais prediais,pequenas ampliações de redes,instalação sibstituição de ramais nos Sistemas de Abastecimento de Água do interior - Gerência de Negócios de Chapadinha /MA- Lote 02</v>
          </cell>
          <cell r="E21" t="str">
            <v>Pregão Eletrônico nº 051/2020</v>
          </cell>
          <cell r="F21" t="str">
            <v>01.958.324/0001-08</v>
          </cell>
          <cell r="J21">
            <v>46221</v>
          </cell>
          <cell r="K21">
            <v>338</v>
          </cell>
        </row>
        <row r="22">
          <cell r="A22" t="str">
            <v>027/2021</v>
          </cell>
          <cell r="B22" t="str">
            <v>DO</v>
          </cell>
          <cell r="C22" t="str">
            <v>PONTO FORTE CONSTRUÇÕES LTDA</v>
          </cell>
          <cell r="D22" t="str">
            <v>Prestação de serviços comuns de engenharia demanutenção de redes e ramais prediais,pequenas ampliações de redes,instalação sibstituição de ramais nos Sistemas de Abastecimento de Água do interior - Gerência de Negócios de Coroatá /MA- Lote 02</v>
          </cell>
          <cell r="E22" t="str">
            <v>Pregão Eletrônico nº 051/2020</v>
          </cell>
          <cell r="F22" t="str">
            <v>01.958.324/0001-08</v>
          </cell>
          <cell r="G22" t="str">
            <v>Portaria 369/2025</v>
          </cell>
          <cell r="H22" t="str">
            <v>Denis Monteiro do Nascimento Junior</v>
          </cell>
          <cell r="I22" t="str">
            <v>Igor Pinto Souza</v>
          </cell>
          <cell r="J22">
            <v>46222</v>
          </cell>
          <cell r="K22">
            <v>339</v>
          </cell>
        </row>
        <row r="23">
          <cell r="A23" t="str">
            <v>033/2022</v>
          </cell>
          <cell r="B23" t="str">
            <v>DO</v>
          </cell>
          <cell r="C23" t="str">
            <v>DESTACK SERVIÇOS AMBIENTAIS</v>
          </cell>
          <cell r="D23" t="str">
            <v xml:space="preserve">Prestação de serviços de locação de caminhão equipado com tanque, para transporte e fornecimento de água potável aos clientes da CAEMA em São Luís MA </v>
          </cell>
          <cell r="E23" t="str">
            <v>Pregão Eletrônico nº 0010/2022 PRE/CAEMA</v>
          </cell>
          <cell r="F23" t="str">
            <v>23.682.131/0001-00</v>
          </cell>
          <cell r="J23">
            <v>46221</v>
          </cell>
          <cell r="K23">
            <v>338</v>
          </cell>
        </row>
        <row r="24">
          <cell r="A24" t="str">
            <v>044/2022</v>
          </cell>
          <cell r="B24" t="str">
            <v>DO</v>
          </cell>
          <cell r="C24" t="str">
            <v>3D SERVIÇOS AMBIENTAIS LTDA.</v>
          </cell>
          <cell r="D24" t="str">
            <v>Prestação de serviços de lcoação de caminhão equipado com tanque, para o transporte e fornecimento de água potável aos clientes da Companhia de Saneamento Ambiental do Maranhão - CAEMA, Lote 01 Gerência de Negócios de Imperatriz</v>
          </cell>
          <cell r="E24" t="str">
            <v>PREGÃO ELETRÔNICO Nº 032/2022 - PRE/CAEMA</v>
          </cell>
          <cell r="F24" t="str">
            <v>63.444.715/0001-53</v>
          </cell>
          <cell r="J24">
            <v>46222</v>
          </cell>
          <cell r="K24">
            <v>339</v>
          </cell>
        </row>
        <row r="25">
          <cell r="A25" t="str">
            <v>045/2022</v>
          </cell>
          <cell r="B25" t="str">
            <v>DO</v>
          </cell>
          <cell r="C25" t="str">
            <v>3D SERVIÇOS AMBIENTAIS LTDA.</v>
          </cell>
          <cell r="D25" t="str">
            <v>Prestação de serviços de lcoação de caminhão equipado com tanque, para o transporte e fornecimento de água potável aos clientes da Companhia de Saneamento Ambiental do Maranhão - CAEMA, Lote 02 Gerência de Negócios de PEDREIRAS, SÃO JOÃO DOS PATOS, PRESIDENTE DUTRA</v>
          </cell>
          <cell r="E25" t="str">
            <v>PREGÃO ELETRÔNICO Nº 032/2022 - PRE/CAEMA</v>
          </cell>
          <cell r="F25" t="str">
            <v>23.682.131/0001-00</v>
          </cell>
          <cell r="J25">
            <v>46223</v>
          </cell>
          <cell r="K25">
            <v>340</v>
          </cell>
        </row>
        <row r="26">
          <cell r="A26" t="str">
            <v>025/2024</v>
          </cell>
          <cell r="B26" t="str">
            <v>DG-LOCAÇÃO</v>
          </cell>
          <cell r="C26" t="str">
            <v xml:space="preserve">Sra VANDA MARIA CONCEIÇÃO DE ARAUJO (locatária) </v>
          </cell>
          <cell r="D26" t="str">
            <v>Locação de imóvel situado na rua Dom Mota, nº 192  Centro, município de Buriticupu/ Ma, para funcionamento do Escritório Local.</v>
          </cell>
          <cell r="E26" t="str">
            <v>DISPENSA DE LICITAÇÃO N° 011/2024</v>
          </cell>
          <cell r="F26" t="str">
            <v>922.925.423-15</v>
          </cell>
          <cell r="J26">
            <v>46590</v>
          </cell>
          <cell r="K26">
            <v>707</v>
          </cell>
        </row>
        <row r="27">
          <cell r="A27" t="str">
            <v>035/2020</v>
          </cell>
          <cell r="B27" t="str">
            <v>DG-LOCAÇÃO</v>
          </cell>
          <cell r="C27" t="str">
            <v>MARTA ANDREA COSTA E SILVA (ICATU)</v>
          </cell>
          <cell r="D27" t="str">
            <v xml:space="preserve">Locação de um imóvel para funcionamento do escritório da CAEMA, no município de Icatu, situado à Rua Barão do Rio Branco, n° 175, Centro, nesta cidade.
</v>
          </cell>
          <cell r="E27" t="str">
            <v>Dispensa de Licitação</v>
          </cell>
          <cell r="F27" t="str">
            <v>009.563.853-97</v>
          </cell>
          <cell r="J27" t="e">
            <v>#N/A</v>
          </cell>
          <cell r="K27" t="e">
            <v>#N/A</v>
          </cell>
        </row>
        <row r="28">
          <cell r="A28" t="str">
            <v>028/2021</v>
          </cell>
          <cell r="B28" t="str">
            <v>DO</v>
          </cell>
          <cell r="C28" t="str">
            <v>QUANTICA X CONSTRUÇÕES E COMÉRCIO LTDA</v>
          </cell>
          <cell r="D28" t="str">
            <v>Prestação de serviços comuns de engenharia demanutenção de redes e ramais prediais,pequenas ampliações de redes,instalação ubstituição de ramais nos Sistemas de Abastecimento de Água do interior - Gerência de Negócios de Pedreiras Lote 03</v>
          </cell>
          <cell r="E28" t="str">
            <v>Pregão Eletrônico nº 051/2020</v>
          </cell>
          <cell r="F28" t="str">
            <v>10.935.566/0001-69</v>
          </cell>
          <cell r="J28">
            <v>46229</v>
          </cell>
          <cell r="K28">
            <v>346</v>
          </cell>
        </row>
        <row r="29">
          <cell r="A29" t="str">
            <v>029/2021</v>
          </cell>
          <cell r="B29" t="str">
            <v>DO</v>
          </cell>
          <cell r="C29" t="str">
            <v>QUANTICA X CONSTRUÇÕES E COMÉRCIO LTDA</v>
          </cell>
          <cell r="D29" t="str">
            <v>Prestação de serviços comuns de engenharia demanutenção de redes e ramais prediais,pequenas ampliações de redes,instalação ubstituição de ramais nos Sistemas de Abastecimento de Água do interior - Gerência de Negócios de Presidente Dutra Lote 03</v>
          </cell>
          <cell r="E29" t="str">
            <v>Pregão Eletrônico nº 051/2020</v>
          </cell>
          <cell r="F29" t="str">
            <v>10.935.566/0001-69</v>
          </cell>
          <cell r="G29" t="str">
            <v>Portaria 428/2025</v>
          </cell>
          <cell r="H29" t="str">
            <v>José Fernando Castro Silva</v>
          </cell>
          <cell r="I29" t="str">
            <v>Carlos Alberto Rodrigues Nunes</v>
          </cell>
          <cell r="J29">
            <v>46229</v>
          </cell>
          <cell r="K29">
            <v>346</v>
          </cell>
        </row>
        <row r="30">
          <cell r="A30" t="str">
            <v>030/2021</v>
          </cell>
          <cell r="B30" t="str">
            <v>DO</v>
          </cell>
          <cell r="C30" t="str">
            <v>QUANTICA X CONSTRUÇÕES E COMÉRCIO LTDA</v>
          </cell>
          <cell r="D30" t="str">
            <v>Prestação de serviços comuns de engenharia demanutenção de redes e ramais prediais,pequenas ampliações de redes,instalação ubstituição de ramais nos Sistemas de Abastecimento de Água do interior - Gerência de Negócios de São João dos Patos Lote 03</v>
          </cell>
          <cell r="E30" t="str">
            <v>Pregão Eletrônico nº 051/2020</v>
          </cell>
          <cell r="F30" t="str">
            <v>10.935.566/0001-69</v>
          </cell>
          <cell r="J30">
            <v>46229</v>
          </cell>
          <cell r="K30">
            <v>346</v>
          </cell>
        </row>
        <row r="31">
          <cell r="A31" t="str">
            <v>CV 003/2023</v>
          </cell>
          <cell r="B31" t="str">
            <v>DG</v>
          </cell>
          <cell r="C31" t="str">
            <v>ASSOCIAÇÃO DOS SERVIDORES DA CAEMA DE SÃO LUÍS/MA - ASSERCA</v>
          </cell>
          <cell r="D31" t="str">
            <v>Autorização de concessão de descontos em folha, referentes a contribuições sociais, convênios e quitação de despesas de associado titular da ASSERCA</v>
          </cell>
          <cell r="E31" t="str">
            <v>CONVÊNIO</v>
          </cell>
          <cell r="F31" t="str">
            <v>03.010.767/0001-90</v>
          </cell>
          <cell r="J31">
            <v>46228</v>
          </cell>
          <cell r="K31">
            <v>345</v>
          </cell>
        </row>
        <row r="32">
          <cell r="A32" t="str">
            <v>004/2025</v>
          </cell>
          <cell r="B32" t="str">
            <v>DO</v>
          </cell>
          <cell r="C32" t="str">
            <v>BAUMINAS QUIMICA N-NE LTDA</v>
          </cell>
          <cell r="D32" t="str">
            <v>Aquisição de 5.138.826 KG sulfato de alumínio ferroso líquido
 para atender etapa do processo de produção de água nas instalações da CAEMA</v>
          </cell>
          <cell r="E32" t="str">
            <v>DISPENSA DE LICITAÇÃO
N° 001/2025</v>
          </cell>
          <cell r="F32" t="str">
            <v xml:space="preserve">23.647.365/0008-84 </v>
          </cell>
          <cell r="J32" t="e">
            <v>#N/A</v>
          </cell>
          <cell r="K32" t="e">
            <v>#N/A</v>
          </cell>
        </row>
        <row r="33">
          <cell r="A33" t="str">
            <v>034/2020</v>
          </cell>
          <cell r="B33" t="str">
            <v>DG-LOCAÇÃO</v>
          </cell>
          <cell r="C33" t="str">
            <v>RAIMUNDO DOS SANTOS (ZÉ DOCA)</v>
          </cell>
          <cell r="D33" t="str">
            <v>Locação de imóvel no Município de ZÉ DOCA/MA</v>
          </cell>
          <cell r="E33" t="str">
            <v>Dispensa de Licitação</v>
          </cell>
          <cell r="F33" t="str">
            <v>127.128.503-78</v>
          </cell>
          <cell r="J33" t="e">
            <v>#N/A</v>
          </cell>
          <cell r="K33" t="e">
            <v>#N/A</v>
          </cell>
        </row>
        <row r="34">
          <cell r="A34" t="str">
            <v>005/2025</v>
          </cell>
          <cell r="B34" t="str">
            <v>DG</v>
          </cell>
          <cell r="C34" t="str">
            <v>AGUIAR LOCAÇÃO LTDA</v>
          </cell>
          <cell r="D34" t="str">
            <v xml:space="preserve"> Contratação de empresa especializada para locação de 02(dois) ônibus para transporte coletivo
 de passageiros para o Sistema Produtor Italuís. Sendo um ônibus rodoviário com capacidade
 para 44  passageiros e um micro-ônibus rodoviário com capacidade para 24 passageiros.</v>
          </cell>
          <cell r="E34" t="str">
            <v>DISPENSA DE LICITAÇÃO
N° 002/2025</v>
          </cell>
          <cell r="F34" t="str">
            <v>07.922.139/0001-31</v>
          </cell>
          <cell r="J34" t="e">
            <v>#N/A</v>
          </cell>
          <cell r="K34" t="e">
            <v>#N/A</v>
          </cell>
        </row>
        <row r="35">
          <cell r="A35" t="str">
            <v>CV 004/2023</v>
          </cell>
          <cell r="B35" t="str">
            <v>DG</v>
          </cell>
          <cell r="C35" t="str">
            <v>ASSERCA II PRESIDENTE DUTRA</v>
          </cell>
          <cell r="D35" t="str">
            <v>Autorização de concessão de descontos em folha, referentes a contribuições sociais, convênios e quitação de despesas de associado titular da ASSERCA</v>
          </cell>
          <cell r="E35" t="str">
            <v>CONVÊNIO</v>
          </cell>
          <cell r="F35" t="str">
            <v>00.7916.732/001-75</v>
          </cell>
          <cell r="J35" t="e">
            <v>#N/A</v>
          </cell>
          <cell r="K35" t="e">
            <v>#N/A</v>
          </cell>
        </row>
        <row r="36">
          <cell r="A36" t="str">
            <v>CV 006/2023</v>
          </cell>
          <cell r="B36" t="str">
            <v>DG</v>
          </cell>
          <cell r="C36" t="str">
            <v>ASSOCIAÇÃO DOS SERVIDORES DA CAEMA DE ITAPECURU MIRIM/MA - ASSERCA II</v>
          </cell>
          <cell r="D36" t="str">
            <v>Concessão de descontos em folha referentes a contribuições sociais, convênios e quitação de despesas de associado titular da ASSERCA</v>
          </cell>
          <cell r="E36" t="str">
            <v>CONVÊNIO</v>
          </cell>
          <cell r="F36" t="str">
            <v>23.673.478/0001-88</v>
          </cell>
          <cell r="J36">
            <v>46233</v>
          </cell>
          <cell r="K36">
            <v>350</v>
          </cell>
        </row>
        <row r="37">
          <cell r="A37" t="str">
            <v>043/2024</v>
          </cell>
          <cell r="B37" t="str">
            <v>DE</v>
          </cell>
          <cell r="C37" t="str">
            <v xml:space="preserve">SANEAR CONSULTORIA, GERENCIAMENTO E PROJETOS LTDA </v>
          </cell>
          <cell r="D37" t="str">
            <v>Prestação de serviço de Engenharia para adequação e atualização do Projeto do Sistema de Esgotamento Sanitário (SES), no Município de Barreirinhas/MA, Estado do Maranhão</v>
          </cell>
          <cell r="E37" t="str">
            <v>INEXIGIBILIDADE DE LICITAÇÃO
N° 010/2024</v>
          </cell>
          <cell r="F37" t="str">
            <v>04.459.876/0001/51</v>
          </cell>
          <cell r="J37" t="e">
            <v>#N/A</v>
          </cell>
          <cell r="K37" t="e">
            <v>#N/A</v>
          </cell>
        </row>
        <row r="38">
          <cell r="A38" t="str">
            <v>043/2024</v>
          </cell>
          <cell r="B38" t="str">
            <v>DE</v>
          </cell>
          <cell r="C38" t="str">
            <v xml:space="preserve">SANEAR CONSULTORIA, GERENCIAMENTO E PROJETOS LTDA </v>
          </cell>
          <cell r="D38" t="str">
            <v>Prestação de serviço de Engenharia para adequação e atualização do Projeto do Sistema de Esgotamento Sanitário (SES), no Município de Barreirinhas/MA, Estado do Maranhão</v>
          </cell>
          <cell r="E38" t="str">
            <v>INEXIGIBILIDADE DE LICITAÇÃO
N° 010/2024</v>
          </cell>
          <cell r="F38" t="str">
            <v>04.459.876/0001/51</v>
          </cell>
          <cell r="J38" t="e">
            <v>#N/A</v>
          </cell>
          <cell r="K38" t="e">
            <v>#N/A</v>
          </cell>
        </row>
        <row r="39">
          <cell r="A39" t="str">
            <v>053/2022</v>
          </cell>
          <cell r="B39" t="str">
            <v>DO</v>
          </cell>
          <cell r="C39" t="str">
            <v>QUANTICA X CONSTRUÇÕES E COMÉRCIO LTDA</v>
          </cell>
          <cell r="D39" t="str">
            <v>Serviços de engenharia para manutenção de redes e ramais prediais, pequenas ampliações de redes, instalação e substituição de ramais nos sistemas de Abastecimento de Água do Interior - Gerência de Negócios de Pinheiro/MA, LOTE 01, os serviços serão prestados nas condições estabelecidas no Edital referido no preâmbulo e seus anexos que se encontram no processo e na proposta vencedora, independentemente de transcrição.</v>
          </cell>
          <cell r="E39" t="str">
            <v>Pregão Eletrônico nº 034/2022 PRE/CAEMA</v>
          </cell>
          <cell r="F39" t="str">
            <v>10.935.566/0001-69</v>
          </cell>
          <cell r="J39">
            <v>46238</v>
          </cell>
          <cell r="K39">
            <v>355</v>
          </cell>
        </row>
        <row r="40">
          <cell r="A40" t="str">
            <v>055/2022</v>
          </cell>
          <cell r="B40" t="str">
            <v>DO</v>
          </cell>
          <cell r="C40" t="str">
            <v>QUANTICA X CONSTRUÇÕES E COMÉRCIO LTDA</v>
          </cell>
          <cell r="D40" t="str">
            <v>Serviços de engenharia de  manutenção de redes e ramais prediais, pequenas ampliações de redes, instalação e  substituição de ramais nos sistemas de Abastecimento de Água do Interior - Gerências  de Negócio de Santa Inês/MA, LOTE 01</v>
          </cell>
          <cell r="E40" t="str">
            <v>Pregão Eletrônico nº 034/2022 PRE/CAEMA</v>
          </cell>
          <cell r="F40" t="str">
            <v>10.935.566/0001-69</v>
          </cell>
          <cell r="J40">
            <v>46237</v>
          </cell>
          <cell r="K40">
            <v>354</v>
          </cell>
        </row>
        <row r="41">
          <cell r="A41" t="str">
            <v>073/2023</v>
          </cell>
          <cell r="B41" t="str">
            <v>DO</v>
          </cell>
          <cell r="C41" t="str">
            <v>ORIONSISTEM EQUIPAMENTOS INDUSTRIAIS LTDA</v>
          </cell>
          <cell r="D41" t="str">
            <v>Contratação de empresa de engenharia especializada para operar, executar manutenções corretivas e preventivas com fornecimento de peças, sob autorização prévia da CAEMA, e limpeza geral das áreas internas e externas da Estação de Tratamento de Esgotos - ETE ANIL e de suas 07 (sete) Estações Elevatórias de Esgotos contribuintes, com mão de obra própria, localizadas no município de São Luis — MA</v>
          </cell>
          <cell r="E41" t="str">
            <v>PREGÃO ELETRÔNICO 013/2023</v>
          </cell>
          <cell r="F41" t="str">
            <v>04.539.534/0001-41</v>
          </cell>
          <cell r="J41">
            <v>45875</v>
          </cell>
          <cell r="K41" t="e">
            <v>#NUM!</v>
          </cell>
        </row>
        <row r="42">
          <cell r="A42" t="str">
            <v>074/2023</v>
          </cell>
          <cell r="B42" t="str">
            <v>DG-LOCAÇÃO</v>
          </cell>
          <cell r="C42" t="str">
            <v>ANTONIA LEOMAR VIERA MARTINS (S. JOSÉ DOS BASÍLIOS)</v>
          </cell>
          <cell r="D42" t="str">
            <v>Locação o imóvel situado na Rua Magalhães de Almeida, 358, Centro, Município de SÃO JOSÉ DOS BASÍLIOS/MA, para funcionamento do Escritório Local.</v>
          </cell>
          <cell r="E42" t="str">
            <v>DISPENSA DE LICITAÇÃO  N° 001/2018</v>
          </cell>
          <cell r="F42" t="str">
            <v>328.511.973-04</v>
          </cell>
          <cell r="J42">
            <v>45876</v>
          </cell>
          <cell r="K42" t="e">
            <v>#NUM!</v>
          </cell>
        </row>
        <row r="43">
          <cell r="A43" t="str">
            <v>071/2023</v>
          </cell>
          <cell r="B43" t="str">
            <v>DE</v>
          </cell>
          <cell r="C43" t="str">
            <v>CONCREMAT ENGENHARIA E TECNOLOGIA S/A</v>
          </cell>
          <cell r="D43" t="str">
            <v>Execução de Serviços de GERENCIAMENTO E APOIO A FISCALIZAÇÃO DAS OBRAS DE IMPLANTAÇÃO E AMPLIAÇÃO DO SISTEMA DE ESGOTAMENTO SANITÁRIO DA CIDADE DE SÃO LUÍS/MA — PAC 2</v>
          </cell>
          <cell r="E43" t="str">
            <v>LICITAÇÃO PUBLICA N° 001/2023</v>
          </cell>
          <cell r="F43" t="str">
            <v>33.146.648/0001-20</v>
          </cell>
          <cell r="J43">
            <v>45877</v>
          </cell>
          <cell r="K43" t="e">
            <v>#NUM!</v>
          </cell>
        </row>
        <row r="44">
          <cell r="A44" t="str">
            <v>077/2023</v>
          </cell>
          <cell r="B44" t="str">
            <v>DG</v>
          </cell>
          <cell r="C44" t="str">
            <v>LYRA TECNOLOGIA E GESTAO EM M2M LTDA</v>
          </cell>
          <cell r="D44" t="str">
            <v>Serviço de transmissao de dados de multioperadora de celular para telemetria e comunicação de dado com plantaforma de gestão integrado on-line.</v>
          </cell>
          <cell r="E44" t="str">
            <v>DIPENSA DE LICITAÇÃO N° 021/2023</v>
          </cell>
          <cell r="F44" t="str">
            <v>27.554.839/0001-28</v>
          </cell>
          <cell r="J44">
            <v>45878</v>
          </cell>
          <cell r="K44" t="e">
            <v>#NUM!</v>
          </cell>
        </row>
        <row r="45">
          <cell r="A45" t="str">
            <v>103/2023</v>
          </cell>
          <cell r="B45" t="str">
            <v>DE</v>
          </cell>
          <cell r="C45" t="str">
            <v>HIDREL ENGENHARIA LTDA</v>
          </cell>
          <cell r="D45" t="str">
            <v>Execução perfuração de 01 (um) poço tubular profundo no município de Presidente Dutra/MA: 8"X 350M com revestimento em aço carbono e filtros em aço inox reforçado.</v>
          </cell>
          <cell r="E45" t="str">
            <v>PREGÃO ELETRONICO 024/2023</v>
          </cell>
          <cell r="F45">
            <v>73864233000106</v>
          </cell>
          <cell r="J45">
            <v>45889</v>
          </cell>
          <cell r="K45">
            <v>6</v>
          </cell>
        </row>
        <row r="46">
          <cell r="A46" t="str">
            <v>029/2024</v>
          </cell>
          <cell r="B46" t="str">
            <v>DG-LOCAÇÃO</v>
          </cell>
          <cell r="C46" t="str">
            <v>LOCAÇÃO MARANHÃOZINHO</v>
          </cell>
          <cell r="D46" t="str">
            <v>Locação de imóvel situado na rua Boa Vista, MARANHÃOZINHO/MA, para funcionamento do Escritório Local.</v>
          </cell>
          <cell r="E46" t="str">
            <v>DISPENSA DE LICITAÇÃO 
N° 015/2024</v>
          </cell>
          <cell r="F46" t="str">
            <v>279.220.653-53</v>
          </cell>
          <cell r="J46">
            <v>45890</v>
          </cell>
          <cell r="K46">
            <v>7</v>
          </cell>
        </row>
        <row r="47">
          <cell r="A47" t="str">
            <v>037/2024</v>
          </cell>
          <cell r="B47" t="str">
            <v>DG</v>
          </cell>
          <cell r="C47" t="str">
            <v xml:space="preserve">C&amp;S VIGILÂNCIA E SEGURANÇA PATRIMONIAL LTDA </v>
          </cell>
          <cell r="D47" t="str">
            <v>PRESTAÇÃO DE SEVIÇOS CONTINUADOS DE VIGIÂNCIA ARMADA E VIGILÂNCIA MOTORIZADA, SEGURANÇA FÍSICA E PATRIMONIAL, DIURNA E NOTURNA. SÃO LUIS-MA, ITALUÍS E BACABEIRA-MA.</v>
          </cell>
          <cell r="E47" t="str">
            <v>LICITAÇÃO ELETRÔNICA Nº 007/2024-PRL/CAEMA</v>
          </cell>
          <cell r="F47" t="str">
            <v>14151000/0002-88</v>
          </cell>
          <cell r="J47">
            <v>45891</v>
          </cell>
          <cell r="K47">
            <v>8</v>
          </cell>
        </row>
        <row r="48">
          <cell r="A48" t="str">
            <v>045/2024</v>
          </cell>
          <cell r="B48" t="str">
            <v>DE</v>
          </cell>
          <cell r="C48" t="str">
            <v xml:space="preserve">MOBICON CONSTRUTORA LTDA </v>
          </cell>
          <cell r="D48" t="str">
            <v>Contratação de empresa de engenharia para execução do saldo remanescente das obras de implantação da 2ª etapa do sistema de esgotamento sanitário de Itapecuru-Mirim/MA, rede coletora, ligações prediais e estações elevatórias condicionantes.</v>
          </cell>
          <cell r="E48" t="str">
            <v>LICITAÇÃO ELETRÔNICA
N° 010/2024</v>
          </cell>
          <cell r="F48" t="str">
            <v>12.260.240/0001-04</v>
          </cell>
          <cell r="J48">
            <v>45891</v>
          </cell>
          <cell r="K48">
            <v>8</v>
          </cell>
        </row>
        <row r="49">
          <cell r="A49" t="str">
            <v>059/2022</v>
          </cell>
          <cell r="B49" t="str">
            <v>DG</v>
          </cell>
          <cell r="C49" t="str">
            <v>SENIOR SISTEMAS</v>
          </cell>
          <cell r="D49" t="str">
            <v>serviços de atualização legal, suporte técnico de solução integrada de tecnologia e gestão de recursos humanos</v>
          </cell>
          <cell r="E49" t="str">
            <v>Inexigibilidade de Licitação N° 003/2022</v>
          </cell>
          <cell r="F49" t="str">
            <v>80.680.093/0001-81</v>
          </cell>
          <cell r="J49">
            <v>45893</v>
          </cell>
          <cell r="K49">
            <v>10</v>
          </cell>
        </row>
        <row r="50">
          <cell r="A50" t="str">
            <v>CV 007/2023</v>
          </cell>
          <cell r="B50" t="str">
            <v>DG</v>
          </cell>
          <cell r="C50" t="str">
            <v>ASSOCIAÇÃO DOS SERVIDORES DA CAEMA DE IMPERATRIZ/MA - ASSERCA</v>
          </cell>
          <cell r="D50" t="str">
            <v>Concessão de descontos em folha referentes a contribuições sociais, convênios e quitação de despesas de associado titular da ASSERCA</v>
          </cell>
          <cell r="E50" t="str">
            <v>CONVÊNIO</v>
          </cell>
          <cell r="F50" t="str">
            <v>41.371.311/0001-44</v>
          </cell>
          <cell r="J50">
            <v>45893</v>
          </cell>
          <cell r="K50">
            <v>10</v>
          </cell>
        </row>
        <row r="51">
          <cell r="A51" t="str">
            <v>056/2021</v>
          </cell>
          <cell r="B51" t="str">
            <v>DG</v>
          </cell>
          <cell r="C51" t="str">
            <v>NOSSA FROTA</v>
          </cell>
          <cell r="D51" t="str">
            <v>Locação de Veículos automotores de grande e pequeno porte sem motorista e sem combustível para atender as demandasda CAEMA</v>
          </cell>
          <cell r="E51" t="str">
            <v>Pregão Eletrônico nº 036/2020 PRE/CAEMA</v>
          </cell>
          <cell r="F51" t="str">
            <v>29.118.884/0001-65</v>
          </cell>
          <cell r="J51">
            <v>45895</v>
          </cell>
          <cell r="K51">
            <v>12</v>
          </cell>
        </row>
        <row r="52">
          <cell r="A52" t="str">
            <v>076/2022</v>
          </cell>
          <cell r="B52" t="str">
            <v>DC</v>
          </cell>
          <cell r="C52" t="str">
            <v>CREDPAY SOLUÇÕES EM PAGAMENTOS LTDA</v>
          </cell>
          <cell r="D52" t="str">
            <v>Prestação de serviços na modalidade de licenciamento e fornecimento de gateway de pagamentos para prover aos clientes CAEMA o meio de pagamento on-line.</v>
          </cell>
          <cell r="E52" t="str">
            <v>Credenciamento n° 001/2019</v>
          </cell>
          <cell r="F52" t="str">
            <v>27.659.570/0001-44</v>
          </cell>
          <cell r="J52">
            <v>45896</v>
          </cell>
          <cell r="K52">
            <v>13</v>
          </cell>
        </row>
        <row r="53">
          <cell r="A53" t="str">
            <v>074/2022</v>
          </cell>
          <cell r="B53" t="str">
            <v>DG-LOCAÇÃO</v>
          </cell>
          <cell r="C53" t="str">
            <v>RAMILTON BANDEIRA BRAGA (ARAME)</v>
          </cell>
          <cell r="D53" t="str">
            <v xml:space="preserve">Locação de imóvel situado na Rua Ulisses Guimarães, n 730, Centro, MUNICÍPIO DE ARAME/MA, para funcionamento do Escritório Local </v>
          </cell>
          <cell r="E53" t="str">
            <v>Dispensa de licitação</v>
          </cell>
          <cell r="F53" t="str">
            <v>603.699.203-00</v>
          </cell>
          <cell r="J53">
            <v>45897</v>
          </cell>
          <cell r="K53">
            <v>14</v>
          </cell>
        </row>
        <row r="54">
          <cell r="A54" t="str">
            <v>083/2023</v>
          </cell>
          <cell r="B54" t="str">
            <v>DC</v>
          </cell>
          <cell r="C54" t="str">
            <v>FAE SISTEMA DE MEDIÇÃO S/A</v>
          </cell>
          <cell r="D54" t="str">
            <v>Fornecimento de hidrômetros e caixas de proteção de parede e passeio, para instalação em ramais prediais localizados nos sistemas de abastecimento de água da capital e interior.</v>
          </cell>
          <cell r="E54" t="str">
            <v>DISPENSA DE LICITAÇÃO N° 023/2023</v>
          </cell>
          <cell r="F54" t="str">
            <v>07.281.413/0001-30</v>
          </cell>
          <cell r="J54">
            <v>45897</v>
          </cell>
          <cell r="K54">
            <v>14</v>
          </cell>
        </row>
        <row r="55">
          <cell r="A55" t="str">
            <v>007/2024</v>
          </cell>
          <cell r="B55" t="str">
            <v>DE</v>
          </cell>
          <cell r="C55" t="str">
            <v>QUALITECH ENGENHARIA LTDA</v>
          </cell>
          <cell r="D55" t="str">
            <v>Execução de serviços de recuperação de reservatórios ETA´s e execução de serviços complementares, na região metropolitana e nas gerências de Pinheiro, Santa Inês, Itapecuru e Chapadinha MA</v>
          </cell>
          <cell r="E55" t="str">
            <v>PREGÃO ELETRÔNICO 018/2023 ARP 023/2023 - CAEMA</v>
          </cell>
          <cell r="F55" t="str">
            <v>69388361000153</v>
          </cell>
          <cell r="G55" t="str">
            <v>Portaria 205/2024</v>
          </cell>
          <cell r="H55" t="str">
            <v>Elio Ataídes Cavalcante</v>
          </cell>
          <cell r="I55" t="str">
            <v>Gabriel Feres Moreira Lima/George Carvalho Costa</v>
          </cell>
          <cell r="J55">
            <v>45901</v>
          </cell>
          <cell r="K55">
            <v>18</v>
          </cell>
        </row>
        <row r="56">
          <cell r="A56" t="str">
            <v>038/2024</v>
          </cell>
          <cell r="B56" t="str">
            <v>DG</v>
          </cell>
          <cell r="C56" t="str">
            <v xml:space="preserve">IPED EDUCAÇÃO CORPORATIVA LTDA </v>
          </cell>
          <cell r="D56" t="str">
            <v>Contratação de empresa especializada em serviços de capacitação, aprendizagem e treinamentos, mediante plataformas de cursos online, para os funcionários da Companhia de Saneamento Ambiental do Maranhão – CAEMA.</v>
          </cell>
          <cell r="E56" t="str">
            <v>INEXIGIBILIDADE DE LICITAÇÃO N°  007/2024</v>
          </cell>
          <cell r="F56" t="str">
            <v>32.283.883/0001-80</v>
          </cell>
          <cell r="G56" t="str">
            <v>Portaria 525/2024</v>
          </cell>
          <cell r="H56" t="str">
            <v>Danilo Soares Serra Gaioso</v>
          </cell>
          <cell r="I56" t="str">
            <v>Mayra Milany Sousa Lima</v>
          </cell>
          <cell r="J56">
            <v>45902</v>
          </cell>
          <cell r="K56">
            <v>19</v>
          </cell>
        </row>
        <row r="57">
          <cell r="A57" t="str">
            <v>010/2025</v>
          </cell>
          <cell r="B57" t="str">
            <v>DE</v>
          </cell>
          <cell r="C57" t="str">
            <v>HIDREL ENGENHARIA LTDA</v>
          </cell>
          <cell r="D57" t="str">
            <v>Perfuração de 01 (UM) poço tubular profundo, no Município de Sucupira do Norte/MA</v>
          </cell>
          <cell r="E57" t="str">
            <v>Pregão Eletrônico n.º 024/2023-PRE/CAEMA – ARP 019/2023</v>
          </cell>
          <cell r="F57" t="str">
            <v>73864233000106</v>
          </cell>
          <cell r="J57">
            <v>45997</v>
          </cell>
          <cell r="K57">
            <v>114</v>
          </cell>
        </row>
        <row r="58">
          <cell r="A58" t="str">
            <v>039/2024</v>
          </cell>
          <cell r="B58" t="str">
            <v>DG</v>
          </cell>
          <cell r="C58" t="str">
            <v xml:space="preserve">HUMANA ASSISTÊNCIA MÉDICA LTDA </v>
          </cell>
          <cell r="D58" t="str">
            <v>Contratação de operadora, administradora de benefícios ou seguradora de plano de assistência à saúde, com registro na Agência Nacional de Saúde Suplementar - ANS, para operar plano privado de assistência à saúde, destinado aos empregados e cargos comissionados da CAEMA.</v>
          </cell>
          <cell r="E58" t="str">
            <v>LICITAÇÃO ELETRÔNICA N.° 009/2024-PRL/CAEMA</v>
          </cell>
          <cell r="F58" t="str">
            <v>00.361.325/0001-08</v>
          </cell>
          <cell r="J58">
            <v>45909</v>
          </cell>
          <cell r="K58">
            <v>26</v>
          </cell>
        </row>
        <row r="59">
          <cell r="A59" t="str">
            <v>013/2025</v>
          </cell>
          <cell r="B59" t="str">
            <v>DE</v>
          </cell>
          <cell r="C59" t="str">
            <v>SÓ POÇOS CONSTRUÇÕES EIRELI</v>
          </cell>
          <cell r="D59" t="str">
            <v>O objeto do presente Termo de Contrato é a perfuração de 01 (um) poço tubular, no Município de
Riachão/MA</v>
          </cell>
          <cell r="E59" t="str">
            <v>Pregão Eletrônico n.º 024/2023-
PRE/CAEMA – ARP 022/2023</v>
          </cell>
          <cell r="F59" t="str">
            <v>06.922.664.0001-94</v>
          </cell>
          <cell r="G59" t="str">
            <v>Portaria 150/2025</v>
          </cell>
          <cell r="H59" t="str">
            <v>Sandro Sávio Soares Fonseca</v>
          </cell>
          <cell r="I59" t="str">
            <v>Daiane Volff Ferreira</v>
          </cell>
          <cell r="J59">
            <v>45910</v>
          </cell>
          <cell r="K59">
            <v>27</v>
          </cell>
        </row>
        <row r="60">
          <cell r="A60" t="str">
            <v>040/2024</v>
          </cell>
          <cell r="B60" t="str">
            <v>DG</v>
          </cell>
          <cell r="C60" t="str">
            <v xml:space="preserve">MOVING CAPACITAÇÕES LTDA </v>
          </cell>
          <cell r="D60" t="str">
            <v xml:space="preserve">Prestação de serviço de capacitação de 46 empregados no curso de “ADITIVOS, REEQUILÍBRIO ECONÔMICO-FINANCEIRO, MEDIÇÕES E PAGAMENTO DE CONTRATOS DE OBRAS PÚBLICAS – MODALIDADE À DISTÂNCIA para desenvolvimento corporativo da Companhia de Saneamento Ambiental do Maranhão – CAEMA.
</v>
          </cell>
          <cell r="E60" t="str">
            <v>INEXIGIBILIDADE DE LICITAÇÃO 
N° 006/2024</v>
          </cell>
          <cell r="F60" t="str">
            <v>42.864.563/0001-78</v>
          </cell>
          <cell r="G60" t="str">
            <v>Portaria 530/2024</v>
          </cell>
          <cell r="H60" t="str">
            <v>Danilo Soares Serra Gaioso</v>
          </cell>
          <cell r="I60" t="str">
            <v>Mayra Milany Sousa Lima</v>
          </cell>
          <cell r="J60">
            <v>45912</v>
          </cell>
          <cell r="K60">
            <v>29</v>
          </cell>
        </row>
        <row r="61">
          <cell r="A61" t="str">
            <v>005/2023</v>
          </cell>
          <cell r="B61" t="str">
            <v>DE</v>
          </cell>
          <cell r="C61" t="str">
            <v>MPA CONSTRUÇÕES E PARTICIPAÇÕES LTDA</v>
          </cell>
          <cell r="D61" t="str">
            <v xml:space="preserve"> Contratação de empresa especializada em execução de serviços comuns de engenharia para melhorias nos sistemas de implantação e ampliação de redes de abastecimento de água e miscelâneas em municípios operados pela CAEMA.</v>
          </cell>
          <cell r="E61" t="str">
            <v>PREGÃO ELETRONICO 036/2022</v>
          </cell>
          <cell r="F61" t="str">
            <v>08.369.786/0001-20</v>
          </cell>
          <cell r="G61" t="str">
            <v>Portaria 117/2023</v>
          </cell>
          <cell r="H61" t="str">
            <v>Elio Ataídes Cavalcante</v>
          </cell>
          <cell r="I61" t="str">
            <v>George Carvalho Costa</v>
          </cell>
          <cell r="J61">
            <v>45913</v>
          </cell>
          <cell r="K61">
            <v>30</v>
          </cell>
        </row>
        <row r="62">
          <cell r="A62" t="str">
            <v>052/2021</v>
          </cell>
          <cell r="B62" t="str">
            <v>DG</v>
          </cell>
          <cell r="C62" t="str">
            <v>LINK CARD ADMINISTRADORA DE BENEFÍCIOS EIRELI</v>
          </cell>
          <cell r="D62" t="str">
            <v>Contratação de empresa especializada na prestação de serviçosde gerenciamento informatizado de manutenção da frota de veículos da CAEMA</v>
          </cell>
          <cell r="E62" t="str">
            <v>Ata de Registro de Preços nº 018/2020 Supli GEGCO/AGESPISA (carona)</v>
          </cell>
          <cell r="F62" t="str">
            <v>12.039.966/0001-11</v>
          </cell>
          <cell r="G62" t="str">
            <v>Portaria 283/2025</v>
          </cell>
          <cell r="H62" t="str">
            <v>Adonias Lima Coelho</v>
          </cell>
          <cell r="I62" t="str">
            <v>Jurandir Pereira da Silva</v>
          </cell>
          <cell r="J62">
            <v>45913</v>
          </cell>
          <cell r="K62">
            <v>30</v>
          </cell>
        </row>
        <row r="63">
          <cell r="A63" t="str">
            <v>053/2021</v>
          </cell>
          <cell r="B63" t="str">
            <v>DG</v>
          </cell>
          <cell r="C63" t="str">
            <v>LINK CARD ADMINISTRADORA DE BENEFÍCIOS LTDA</v>
          </cell>
          <cell r="D63" t="str">
            <v>Contratação de empresa especializada no gerenciamento eletrônico e controle de abastecimento,implantação eoperação de um sistema informatizado /integrado com utilizaçãode cartão magnético viaweb que perimta o funcionamento de combustíveis gasolina comum, diesel s10) através de redes de postos credenciados para atender a frota de veículos da CAEMA</v>
          </cell>
          <cell r="E63" t="str">
            <v>Ata de Registro de Preços nº 004/2021 Supli GEGCO/AGESPISA (carona)</v>
          </cell>
          <cell r="F63" t="str">
            <v>12.039.966/0001-11</v>
          </cell>
          <cell r="G63" t="str">
            <v>Portaria 284/2025</v>
          </cell>
          <cell r="H63" t="str">
            <v>Adonias Lima Coelho</v>
          </cell>
          <cell r="I63" t="str">
            <v>Jurandir Pereira da Silva</v>
          </cell>
          <cell r="J63">
            <v>45913</v>
          </cell>
          <cell r="K63">
            <v>30</v>
          </cell>
        </row>
        <row r="64">
          <cell r="A64" t="str">
            <v>013/2024</v>
          </cell>
          <cell r="B64" t="str">
            <v>DE</v>
          </cell>
          <cell r="C64" t="str">
            <v>MPA CONSTRUÇÕES E PARTICIPAÇÕES LTDA</v>
          </cell>
          <cell r="D64" t="str">
            <v>Contratação de empresa de engenharia especializada para prestação de serviços de Melhorias do Sistema e Abastecimento de Água, no Município de Morros/MA</v>
          </cell>
          <cell r="E64" t="str">
            <v>PREGÃO ELETRÔNICO 038/2023 - PRL/CAEMA</v>
          </cell>
          <cell r="F64" t="str">
            <v>08369786000120</v>
          </cell>
          <cell r="G64" t="str">
            <v>Portaria 209/2024</v>
          </cell>
          <cell r="H64" t="str">
            <v>Elio Ataídes Cavalcante</v>
          </cell>
          <cell r="I64" t="str">
            <v>George Carvalho Costa</v>
          </cell>
          <cell r="J64">
            <v>45917</v>
          </cell>
          <cell r="K64">
            <v>34</v>
          </cell>
        </row>
        <row r="65">
          <cell r="A65" t="str">
            <v>089/2023</v>
          </cell>
          <cell r="B65" t="str">
            <v>DO</v>
          </cell>
          <cell r="C65" t="str">
            <v>SÓ POÇOS E CONSTRUÇÕES EIRELI (IMPERATRIZ)</v>
          </cell>
          <cell r="D65" t="str">
            <v xml:space="preserve">Execução de serviços específico de engenharia e hidrogeologia para manuntenção e reabilitação de poços tubulares profundos em IMPERATRIZ/MA  </v>
          </cell>
          <cell r="E65" t="str">
            <v>PREGÃO ELETRONICO N 037/2022 ARP N 058/2022</v>
          </cell>
          <cell r="F65">
            <v>6922664000194</v>
          </cell>
          <cell r="G65" t="str">
            <v>Portaria 059/2024</v>
          </cell>
          <cell r="H65" t="str">
            <v>José dos Santos Pinheiro Jr</v>
          </cell>
          <cell r="I65" t="str">
            <v>Eduardo Marinho dos Santos</v>
          </cell>
          <cell r="J65">
            <v>45919</v>
          </cell>
          <cell r="K65">
            <v>36</v>
          </cell>
        </row>
        <row r="66">
          <cell r="A66" t="str">
            <v>021/2023</v>
          </cell>
          <cell r="B66" t="str">
            <v>DO</v>
          </cell>
          <cell r="C66" t="str">
            <v>PESE PERFURAÇÕES DE POÇOS E SERVIÇOS LTDA</v>
          </cell>
          <cell r="D66" t="str">
            <v xml:space="preserve">Serviços comuns de engenharia e hidrogeologia para manutenção e
reabilitação de poços tubulares profundos operados pela CAEMA.
</v>
          </cell>
          <cell r="E66" t="str">
            <v>PREGÃO ELETRONICO N°  090.2021</v>
          </cell>
          <cell r="F66" t="str">
            <v xml:space="preserve"> 02.279.005/0001-20</v>
          </cell>
          <cell r="J66">
            <v>45923</v>
          </cell>
          <cell r="K66">
            <v>40</v>
          </cell>
        </row>
        <row r="67">
          <cell r="A67" t="str">
            <v>044/2024</v>
          </cell>
          <cell r="B67" t="str">
            <v>DG</v>
          </cell>
          <cell r="C67" t="str">
            <v xml:space="preserve">EMPRESA D B MORAES SOUZA ME </v>
          </cell>
          <cell r="D67" t="str">
            <v>Contratação de empresa especializada na manutenção de redes de fibra óptica, incluindo cabos, distribuidores ópticos, fusões ópticas, conversores ópticos e outros componentes relacionados. O  serviço contemplará as seguintes destinações: na Companhia de Saneamento Ambiental do Maranhão - CAEMA do Sacavém, Italuís e SEDE.</v>
          </cell>
          <cell r="E67" t="str">
            <v>DISPENSA DE LICITAÇÃO N° 019/2024</v>
          </cell>
          <cell r="F67" t="str">
            <v>26.857.138/0001-03</v>
          </cell>
          <cell r="G67" t="str">
            <v>CLÁUSULA 11ª</v>
          </cell>
          <cell r="H67" t="str">
            <v>Eliernandes Mendes Rodrigues</v>
          </cell>
          <cell r="I67" t="str">
            <v>Reginaldo da Silva Costa</v>
          </cell>
          <cell r="J67">
            <v>45926</v>
          </cell>
          <cell r="K67">
            <v>43</v>
          </cell>
        </row>
        <row r="68">
          <cell r="A68" t="str">
            <v>018/2023</v>
          </cell>
          <cell r="B68" t="str">
            <v>DE</v>
          </cell>
          <cell r="C68" t="str">
            <v>PESE PERFURAÇÕES DE POÇOS E SERVIÇOS LTDA</v>
          </cell>
          <cell r="D68" t="str">
            <v xml:space="preserve">Serviços comuns de engenharia e hidrogeologia para manutenção e reabilitação de poços tubulares profundos operados pela CAEMA. </v>
          </cell>
          <cell r="E68" t="str">
            <v>PREGÃO ELETRONICO N°  090.2021</v>
          </cell>
          <cell r="F68" t="str">
            <v xml:space="preserve"> 02.279.005/0001-20</v>
          </cell>
          <cell r="J68">
            <v>45929</v>
          </cell>
          <cell r="K68">
            <v>46</v>
          </cell>
        </row>
        <row r="69">
          <cell r="A69" t="str">
            <v>008/2024</v>
          </cell>
          <cell r="B69" t="str">
            <v>DE</v>
          </cell>
          <cell r="C69" t="str">
            <v>HIDREL ENGENHARIA LTDA</v>
          </cell>
          <cell r="D69" t="str">
            <v>Perfuração de 01 (um) poço tubular profundo, com revestimento de tubo de aço carbono no Município de Pedreiras/MA</v>
          </cell>
          <cell r="E69" t="str">
            <v>PREGÃO ELETRÔNICO 024/2023 ARP 019/2023 - CAEMA</v>
          </cell>
          <cell r="F69" t="str">
            <v>73864233000106</v>
          </cell>
          <cell r="G69" t="str">
            <v>Portaria 206/2024</v>
          </cell>
          <cell r="H69" t="str">
            <v>Elio Ataídes Cavalcante</v>
          </cell>
          <cell r="I69" t="str">
            <v>Daiane Volff Ferreira</v>
          </cell>
          <cell r="J69">
            <v>45932</v>
          </cell>
          <cell r="K69">
            <v>49</v>
          </cell>
        </row>
        <row r="70">
          <cell r="A70" t="str">
            <v>081/2022</v>
          </cell>
          <cell r="B70" t="str">
            <v>DG</v>
          </cell>
          <cell r="C70" t="str">
            <v>APIL SEGURANÇA ELETRÔNICA LTDA</v>
          </cell>
          <cell r="D70" t="str">
            <v>Serviços de rastreamento e monitoramento eletrônico de 130 veículos com transmissão de dados via GPRS/GSM e recepção GPS 24 horas em tempo real, compreendendo a instalação de módulos rastreadores em comodato e a disponibilização de software de gerenciamento com acesso via Web para gestão de frota da Companhia</v>
          </cell>
          <cell r="E70" t="str">
            <v xml:space="preserve">Pregão Eletrônico n.° 025/2022-PRE/CAEMA, Ata de Registro de Preço n° 045/2022 - CAEMA </v>
          </cell>
          <cell r="F70" t="str">
            <v>34.540.071/0001-07</v>
          </cell>
          <cell r="G70" t="str">
            <v>Portaria 289/2025</v>
          </cell>
          <cell r="H70" t="str">
            <v>Adonias Lima Coelho</v>
          </cell>
          <cell r="I70" t="str">
            <v>Jurandir Pereira da Silva</v>
          </cell>
          <cell r="J70">
            <v>45933</v>
          </cell>
          <cell r="K70">
            <v>50</v>
          </cell>
        </row>
        <row r="71">
          <cell r="A71" t="str">
            <v>005/2024</v>
          </cell>
          <cell r="B71" t="str">
            <v>DE</v>
          </cell>
          <cell r="C71" t="str">
            <v>PESE - PERFURAÇÕES GE POÇOS E SERVIÇOS LTDA</v>
          </cell>
          <cell r="D71" t="str">
            <v>Serviços de engenharia e hidrogeologia para manutenção de poços tubulares profundos do Sistema  eAbastecimento de Àgua Paciência I e II</v>
          </cell>
          <cell r="E71" t="str">
            <v>PREGÃO ELETRÔNICO 022/2023</v>
          </cell>
          <cell r="F71" t="str">
            <v>02279005000120</v>
          </cell>
          <cell r="G71" t="str">
            <v>Portaria 204/2024</v>
          </cell>
          <cell r="H71" t="str">
            <v>Elio Ataídes Cavalcante</v>
          </cell>
          <cell r="I71" t="str">
            <v>Daiane Volff Ferreira</v>
          </cell>
          <cell r="J71">
            <v>45934</v>
          </cell>
          <cell r="K71">
            <v>51</v>
          </cell>
        </row>
        <row r="72">
          <cell r="A72" t="str">
            <v>012/2024</v>
          </cell>
          <cell r="B72" t="str">
            <v>DE</v>
          </cell>
          <cell r="C72" t="str">
            <v>PESE - PERFURAÇÕES GE POÇOS E SERVIÇOS LTDA SANTA LUZIA</v>
          </cell>
          <cell r="D72" t="str">
            <v xml:space="preserve">Execução dos serviços de perfuração de 01 (um) poço tubular profundo, no município de Santa Inds/MA: 8`` X 150 M. </v>
          </cell>
          <cell r="E72" t="str">
            <v>PREGÃO ELETRÔNICO 053/2022 ARP 002/2023 - CAEMA</v>
          </cell>
          <cell r="F72" t="str">
            <v xml:space="preserve">02279005000120 </v>
          </cell>
          <cell r="G72" t="str">
            <v>Portaria 208/2024</v>
          </cell>
          <cell r="H72" t="str">
            <v>Elio Ataídes Cavalcante</v>
          </cell>
          <cell r="I72" t="str">
            <v>Daiane Volff Ferreira</v>
          </cell>
          <cell r="J72">
            <v>45935</v>
          </cell>
          <cell r="K72">
            <v>52</v>
          </cell>
        </row>
        <row r="73">
          <cell r="A73" t="str">
            <v>061/2021</v>
          </cell>
          <cell r="B73" t="str">
            <v>DO</v>
          </cell>
          <cell r="C73" t="str">
            <v>PONTO FORTE CONSTRUÇÕES LTDA</v>
          </cell>
          <cell r="D73" t="str">
            <v>Contratação de empresa para prestação de serviços comuns de engenharia de manutenção de redes  coletoras de esgotos da CAEMA da cidade de São Luís MA- Lote 01</v>
          </cell>
          <cell r="E73" t="str">
            <v>Pregão Eletrõnico nº 008/2021.</v>
          </cell>
          <cell r="F73" t="str">
            <v>01.958.324/0001-08</v>
          </cell>
          <cell r="G73" t="str">
            <v>portaria 437/2024</v>
          </cell>
          <cell r="H73" t="str">
            <v>Alain Gerard Lobato de Moura</v>
          </cell>
          <cell r="I73" t="str">
            <v>Luis Mauro Lima da Silva</v>
          </cell>
          <cell r="J73">
            <v>45936</v>
          </cell>
          <cell r="K73">
            <v>53</v>
          </cell>
        </row>
        <row r="74">
          <cell r="A74" t="str">
            <v>049/2024</v>
          </cell>
          <cell r="B74" t="str">
            <v>DO</v>
          </cell>
          <cell r="C74" t="str">
            <v xml:space="preserve">PONTO FORTE CONSTRUÇÕES E EMPREENDIMENTOS </v>
          </cell>
          <cell r="D74" t="str">
            <v>Prestação dos serviços de manutenção de redes coletoras de esgoto do interior da Companhia de Saneamento Ambiental do Maranhão – CAEMA. LOTE 01 - Barreirinhas – Sistema Público e Tutóia –Sistema Isolado</v>
          </cell>
          <cell r="E74" t="str">
            <v xml:space="preserve">LICITAÇÃO ELETRÔNICA Nº 014/2024 </v>
          </cell>
          <cell r="F74" t="str">
            <v>01.958.324/0001-08</v>
          </cell>
          <cell r="G74" t="str">
            <v>Portaria 328/2025</v>
          </cell>
          <cell r="H74" t="str">
            <v>Cleison Gomes de Sá</v>
          </cell>
          <cell r="I74" t="str">
            <v>Antonio Caldas Santos</v>
          </cell>
          <cell r="J74">
            <v>45937</v>
          </cell>
          <cell r="K74">
            <v>54</v>
          </cell>
        </row>
        <row r="75">
          <cell r="A75" t="str">
            <v>050/2024</v>
          </cell>
          <cell r="B75" t="str">
            <v>DO</v>
          </cell>
          <cell r="C75" t="str">
            <v xml:space="preserve">PONTO FORTE CONSTRUÇÕES E EMPREENDIMENTOS </v>
          </cell>
          <cell r="D75" t="str">
            <v>Prestação dos serviços de manutenção de redes coletoras de esgoto do interior da Companhia de Saneamento Ambiental do Maranhão – CAEMA. LOTE 02 – Itapecuru, Chapadinha, Vargem Grande e Coroatá.</v>
          </cell>
          <cell r="E75" t="str">
            <v xml:space="preserve">LICITAÇÃO ELETRÔNICA Nº 014/2024 </v>
          </cell>
          <cell r="F75" t="str">
            <v>01.958.324/0001-08</v>
          </cell>
          <cell r="G75" t="str">
            <v>Portaria 329/2025</v>
          </cell>
          <cell r="H75" t="str">
            <v>Luis Felipe Pontes Silva/ Denis Monteiro Nascimento Jr/ José de Lima da Cruz</v>
          </cell>
          <cell r="I75" t="str">
            <v>Raimundo Marcio Sousa Simoes/ Pedro Paulo Barbosa Nunes Sobrinho/ Francicos da Chagas Teixeira de Sousa</v>
          </cell>
          <cell r="J75">
            <v>45937</v>
          </cell>
          <cell r="K75">
            <v>54</v>
          </cell>
        </row>
        <row r="76">
          <cell r="A76" t="str">
            <v>051/2024</v>
          </cell>
          <cell r="B76" t="str">
            <v>DO</v>
          </cell>
          <cell r="C76" t="str">
            <v xml:space="preserve">PONTO FORTE CONSTRUÇÕES E EMPREENDIMENTOS </v>
          </cell>
          <cell r="D76" t="str">
            <v>Prestação dos serviços de manutenção de redes coletoras de esgoto do interior da Companhia de Saneamento Ambiental do Maranhão – CAEMA. LOTE 03 – BARRA DO CORDA</v>
          </cell>
          <cell r="E76" t="str">
            <v xml:space="preserve">LICITAÇÃO ELETRÔNICA Nº 014/2024 </v>
          </cell>
          <cell r="F76" t="str">
            <v>01.958.324/0001-08</v>
          </cell>
          <cell r="G76" t="str">
            <v>Portaria 330/2025</v>
          </cell>
          <cell r="H76" t="str">
            <v>José Fernando Castro Silva</v>
          </cell>
          <cell r="I76" t="str">
            <v>Francisco Ferreira Gomes Junior</v>
          </cell>
          <cell r="J76">
            <v>45937</v>
          </cell>
          <cell r="K76">
            <v>54</v>
          </cell>
        </row>
        <row r="77">
          <cell r="A77" t="str">
            <v>056/2024</v>
          </cell>
          <cell r="B77" t="str">
            <v>DG</v>
          </cell>
          <cell r="C77" t="str">
            <v xml:space="preserve">FUNDAÇÃO JOSUÉ MONTELO </v>
          </cell>
          <cell r="D77" t="str">
            <v>Contratação de instituição brasileira incumbida regimental ou estatutariamente da pesquisa, do ensino ou do desenvolvimento institucional, para apoio ao desenvolvimento institucional da CAEMA, por meio de projeto especifico que contempla a alocação de recursos tecnológicos, material permanente e pessoal qualificado na Area de saneamento ambiental, especificamente com a execução de um Projeto de Otimização dos Serviços de Abastecimento de Agua nos municípios do interior do estado do Maranhao.</v>
          </cell>
          <cell r="E77" t="str">
            <v>DISPENSA DE LICITAÇÃO
N° 027/2024</v>
          </cell>
          <cell r="F77" t="str">
            <v>01.441.372/0001-16</v>
          </cell>
          <cell r="G77" t="str">
            <v>Portaria 322/2025</v>
          </cell>
          <cell r="H77" t="str">
            <v>Adilon Arruda Leda Filho</v>
          </cell>
          <cell r="I77" t="str">
            <v>João Ricardo de Araujo Silva</v>
          </cell>
          <cell r="J77">
            <v>45940</v>
          </cell>
          <cell r="K77">
            <v>57</v>
          </cell>
        </row>
        <row r="78">
          <cell r="A78" t="str">
            <v>052/2024</v>
          </cell>
          <cell r="B78" t="str">
            <v>DO</v>
          </cell>
          <cell r="C78" t="str">
            <v xml:space="preserve">PONTO FORTE CONSTRUÇÕES E EMPREENDIMENTOS </v>
          </cell>
          <cell r="D78" t="str">
            <v>Contratação de empresa especializada para execução de serviços de manutenção de redes, ramais prediais e pequenas ampliações de redes dos sistemas de abastecimento de água de São Luís/MA, da ÁREA DO VINHAIS. LOTE 01</v>
          </cell>
          <cell r="E78" t="str">
            <v xml:space="preserve">LICITAÇÃO ELETRÔNICA Nº 001/2024 </v>
          </cell>
          <cell r="F78" t="str">
            <v>01.958.324/0001-08</v>
          </cell>
          <cell r="J78">
            <v>45945</v>
          </cell>
          <cell r="K78">
            <v>62</v>
          </cell>
        </row>
        <row r="79">
          <cell r="A79" t="str">
            <v>053/2024</v>
          </cell>
          <cell r="B79" t="str">
            <v>DO</v>
          </cell>
          <cell r="C79" t="str">
            <v xml:space="preserve">PONTO FORTE CONSTRUÇÕES E EMPREENDIMENTOS </v>
          </cell>
          <cell r="D79" t="str">
            <v>Contratação de empresa especializada para execução de serviços de manutenção de redes, ramais prediais e pequenas ampliações de redes dos sistemas de abastecimento de água de São Luís/MA, do ANJO DA GUARDA. LOTE 04</v>
          </cell>
          <cell r="E79" t="str">
            <v xml:space="preserve">LICITAÇÃO ELETRÔNICA Nº 001/2024 </v>
          </cell>
          <cell r="F79" t="str">
            <v>01.958.324/0001-08</v>
          </cell>
          <cell r="G79" t="str">
            <v>Portaria 097/2025</v>
          </cell>
          <cell r="H79" t="str">
            <v>Raimundo Nonato Ferreira Pinheiro</v>
          </cell>
          <cell r="I79" t="str">
            <v>Edvaldo dos Santos Everton</v>
          </cell>
          <cell r="J79">
            <v>45945</v>
          </cell>
          <cell r="K79">
            <v>62</v>
          </cell>
        </row>
        <row r="80">
          <cell r="A80" t="str">
            <v>054/2024</v>
          </cell>
          <cell r="B80" t="str">
            <v>DO</v>
          </cell>
          <cell r="C80" t="str">
            <v xml:space="preserve">QUÂNTICA X CONSTRUÇÕES E COMÉRCIO LTDA </v>
          </cell>
          <cell r="D80" t="str">
            <v>Contratação de empresa especializada para execução de serviços de manutenção de redes, ramais prediais e pequenas ampliações de redes dos sistemas de abastecimento de água de São Luis/MA, do BAIRRO COHAB, LOTE 02.</v>
          </cell>
          <cell r="E80" t="str">
            <v xml:space="preserve">LICITAÇÃO ELETRÔNICA Nº 001/2024 </v>
          </cell>
          <cell r="F80" t="str">
            <v>10.935.566/0001-69</v>
          </cell>
          <cell r="G80" t="str">
            <v>Portaria 096/2025</v>
          </cell>
          <cell r="H80" t="str">
            <v>Raimundo Nonato Ferreira Pinheiro</v>
          </cell>
          <cell r="I80" t="str">
            <v>Railson Ferreira da Silva</v>
          </cell>
          <cell r="J80">
            <v>45945</v>
          </cell>
          <cell r="K80">
            <v>62</v>
          </cell>
        </row>
        <row r="81">
          <cell r="A81" t="str">
            <v>055/2024</v>
          </cell>
          <cell r="B81" t="str">
            <v>DO</v>
          </cell>
          <cell r="C81" t="str">
            <v xml:space="preserve">QUÂNTICA X CONSTRUÇÕES E COMÉRCIO LTDA </v>
          </cell>
          <cell r="D81" t="str">
            <v>Contratação de empresa especializada para execução de serviços de manutenção de redes, ramais prediais e pequenas ampliações de redes dos sistemas de abastecimento de Agua de Sao Luis/MA, da CIDADE OPERARIA, LOTE 03.</v>
          </cell>
          <cell r="E81" t="str">
            <v xml:space="preserve">LICITAÇÃO ELETRÔNICA Nº 001/2024 </v>
          </cell>
          <cell r="F81" t="str">
            <v>10.935.566/0001-69</v>
          </cell>
          <cell r="G81" t="str">
            <v>Portaria 095/2025</v>
          </cell>
          <cell r="H81" t="str">
            <v>Raimundo Nonato Ferreira Pinheiro</v>
          </cell>
          <cell r="I81" t="str">
            <v>José da Conceição Nogueira Viana</v>
          </cell>
          <cell r="J81">
            <v>45945</v>
          </cell>
          <cell r="K81">
            <v>62</v>
          </cell>
        </row>
        <row r="82">
          <cell r="A82" t="str">
            <v>033/2025</v>
          </cell>
          <cell r="B82" t="str">
            <v>DO</v>
          </cell>
          <cell r="C82" t="str">
            <v xml:space="preserve">SABARÁ QUIMICOS E INGREDIENTES </v>
          </cell>
          <cell r="D82" t="str">
            <v>Serviço de dosagem de cloro gasoso liquefeito, com fornecimento do produto, que deverá ser fornecido em cilindros com capacidade de 68 kg e 900 kg. Além disso, CONTRATADA será responsável pela logística de distribuição do produto entre as 40 instalações da companhia distribuídas no Estado, bem como pela manutenção (corretiva) dos sistemas de dosagem</v>
          </cell>
          <cell r="E82">
            <v>0</v>
          </cell>
          <cell r="F82" t="str">
            <v>12.884.672/0004-39</v>
          </cell>
          <cell r="J82">
            <v>45945</v>
          </cell>
          <cell r="K82">
            <v>62</v>
          </cell>
        </row>
        <row r="83">
          <cell r="A83" t="str">
            <v>034/2025</v>
          </cell>
          <cell r="B83" t="str">
            <v>DG</v>
          </cell>
          <cell r="C83" t="str">
            <v>LOCADORA SÃO LUÍS</v>
          </cell>
          <cell r="D83" t="str">
            <v>Contratação de empresa especializada na prestação dos serviços de locação de 20 Veículos tipo Pick-up Compacta e de 09 Veículos Tipo Hatch, sem motorista e sem combustível</v>
          </cell>
          <cell r="E83" t="str">
            <v>DISPENSA DE LICITAÇÃO</v>
          </cell>
          <cell r="F83" t="str">
            <v xml:space="preserve"> 01.870.297/0001-09</v>
          </cell>
          <cell r="G83" t="str">
            <v>Portaria 365/2025</v>
          </cell>
          <cell r="H83" t="str">
            <v>Adonias Lima Coelho</v>
          </cell>
          <cell r="I83" t="str">
            <v>Jurandir Pereira da Silva</v>
          </cell>
          <cell r="J83">
            <v>45943</v>
          </cell>
          <cell r="K83">
            <v>60</v>
          </cell>
          <cell r="Q83">
            <v>45763</v>
          </cell>
        </row>
        <row r="84">
          <cell r="A84" t="str">
            <v>047/2024</v>
          </cell>
          <cell r="B84" t="str">
            <v>DE</v>
          </cell>
          <cell r="C84" t="str">
            <v xml:space="preserve">BATALHA CONSTRUÇÃO LTDA </v>
          </cell>
          <cell r="D84" t="str">
            <v>Execução de serviços comuns de engenharia para perfuração de 01 (um) poço tubular profundo no Bairro Ilha Bela – São Cristóvão, na Cidade de São Luís MA: 8” X 120M.</v>
          </cell>
          <cell r="E84" t="str">
            <v>PREGÃO ELETRÔNICO Nº 024/2023</v>
          </cell>
          <cell r="F84" t="str">
            <v>07.908.484/0001-10</v>
          </cell>
          <cell r="G84" t="str">
            <v>Portaria 567/2024</v>
          </cell>
          <cell r="H84" t="str">
            <v>Elio Ataídes Cavalcante</v>
          </cell>
          <cell r="I84" t="str">
            <v>Daiane Volff Ferreira</v>
          </cell>
          <cell r="J84">
            <v>45946</v>
          </cell>
          <cell r="K84">
            <v>63</v>
          </cell>
        </row>
        <row r="85">
          <cell r="A85" t="str">
            <v>063/2024</v>
          </cell>
          <cell r="B85" t="str">
            <v>DE</v>
          </cell>
          <cell r="C85" t="str">
            <v xml:space="preserve">OMNIA CONSTRUÇÕES E COMÉRCIO LTDA </v>
          </cell>
          <cell r="D85" t="str">
            <v>Prestação de serviços de manutenção predial visando atender a Região Metropolitana, Gerência de Negócios de Pinheiro, Gerência de Negócios de Santa Inês, Gerência de Negócios de Itapecuru, Gerência de Negócios de Barreirinhas e Gerência de Negócios de Chapadinha.</v>
          </cell>
          <cell r="E85" t="str">
            <v>LICITAÇÃO ELETRÔNICA N° 005/2024</v>
          </cell>
          <cell r="F85" t="str">
            <v>36.739.095/0001-07</v>
          </cell>
          <cell r="G85" t="str">
            <v>Portaria 607/2024</v>
          </cell>
          <cell r="H85" t="str">
            <v>Elio Ataídes Cavalcante</v>
          </cell>
          <cell r="I85" t="str">
            <v>Gabriel Feres Moreira Lima</v>
          </cell>
          <cell r="J85">
            <v>45948</v>
          </cell>
          <cell r="K85">
            <v>65</v>
          </cell>
        </row>
        <row r="86">
          <cell r="A86" t="str">
            <v>064/2024</v>
          </cell>
          <cell r="B86" t="str">
            <v>DE</v>
          </cell>
          <cell r="C86" t="str">
            <v xml:space="preserve">OMNIA CONSTRUÇÕES E COMÉRCIO LTDA </v>
          </cell>
          <cell r="D86" t="str">
            <v>Prestação de serviços de manutenção predial visando atender a Gerência de negócios de Imperatriz, Gerência de negócios de Pedreiras, Gerência de negócios de Presidente Dutra e Gerência de negócios de Colinas/MA.</v>
          </cell>
          <cell r="E86" t="str">
            <v>LICITAÇÃO ELETRÔNICA                             N° 006/2024</v>
          </cell>
          <cell r="F86" t="str">
            <v>36.739.095/0001- 07</v>
          </cell>
          <cell r="G86" t="str">
            <v>Portaria 051/2025</v>
          </cell>
          <cell r="H86" t="str">
            <v>Sandro Sávio Soares Fonseca</v>
          </cell>
          <cell r="I86" t="str">
            <v>George Carvalho Costa</v>
          </cell>
          <cell r="J86">
            <v>45949</v>
          </cell>
          <cell r="K86">
            <v>66</v>
          </cell>
        </row>
        <row r="87">
          <cell r="A87" t="str">
            <v>017/2025</v>
          </cell>
          <cell r="B87" t="str">
            <v>DE</v>
          </cell>
          <cell r="C87" t="str">
            <v>PALMARES CONSTRUÇÕES LTDA</v>
          </cell>
          <cell r="D87" t="str">
            <v>O objeto do presente Termo de Contrato é a perfuração de 01 (um) poço tubular, no Município de Conceição do Lago Acú/MA</v>
          </cell>
          <cell r="E87" t="str">
            <v xml:space="preserve">Pregão Eletrônico n.º 024/2023-PRE/CAEMA </v>
          </cell>
          <cell r="F87" t="str">
            <v>11.302.593/0001-67</v>
          </cell>
          <cell r="G87" t="str">
            <v>Portaria 205/2025</v>
          </cell>
          <cell r="H87" t="str">
            <v>Sandro Sávio Soares Fonseca</v>
          </cell>
          <cell r="I87" t="str">
            <v>Daiane Volff Ferreira</v>
          </cell>
          <cell r="J87">
            <v>45953</v>
          </cell>
          <cell r="K87">
            <v>70</v>
          </cell>
        </row>
        <row r="88">
          <cell r="A88" t="str">
            <v>018/2025</v>
          </cell>
          <cell r="B88" t="str">
            <v>DE</v>
          </cell>
          <cell r="C88" t="str">
            <v>HIDREL ENGENHARIA LTDA</v>
          </cell>
          <cell r="D88" t="str">
            <v>Perfuração de 01 (um) poço tubular profundo, no município de Fortuna/MA: 6`` x 250m</v>
          </cell>
          <cell r="E88" t="str">
            <v>Pregão Eletrônico N.º 024/2023-PRE/CAEMA</v>
          </cell>
          <cell r="F88" t="str">
            <v>73.864.233/0001-06</v>
          </cell>
          <cell r="G88" t="str">
            <v>Portaria 238/2025</v>
          </cell>
          <cell r="H88" t="str">
            <v>Sandro Sávio Soares Fonseca</v>
          </cell>
          <cell r="I88" t="str">
            <v>Daiane Volff Ferreira</v>
          </cell>
          <cell r="J88">
            <v>45953</v>
          </cell>
          <cell r="K88">
            <v>70</v>
          </cell>
        </row>
        <row r="89">
          <cell r="A89" t="str">
            <v>060/2024</v>
          </cell>
          <cell r="B89" t="str">
            <v>DG</v>
          </cell>
          <cell r="C89" t="str">
            <v>C.I. COMUNICAÇÃO &amp; INFORMAÇÃO LTDA</v>
          </cell>
          <cell r="D89" t="str">
            <v>Contratação de empresa especializada, para prestação de serviços de clipping e mensuração de mídia, de todos os assuntos que fizerem referência à Companhia de Saneamento Ambiental do Maranhão (CAEMA) nas cidades de São Luís, Imperatriz, Chapadinha, Pinheiro, Presidente Dutra e Santa Inês, no Estado do Maranhão.</v>
          </cell>
          <cell r="E89" t="str">
            <v>INEXIGIBILIDADE DE
LICITAÇÃO N° 012/2024</v>
          </cell>
          <cell r="F89" t="str">
            <v>07.461.897/0001-08</v>
          </cell>
          <cell r="J89">
            <v>45954</v>
          </cell>
          <cell r="K89">
            <v>71</v>
          </cell>
        </row>
        <row r="90">
          <cell r="A90" t="str">
            <v>055/2020</v>
          </cell>
          <cell r="B90" t="str">
            <v>DO</v>
          </cell>
          <cell r="C90" t="str">
            <v>SEABRA AUTOMAÇÃO INDUSTRIAL EIRELI</v>
          </cell>
          <cell r="D90" t="str">
            <v>Execução de serviços com fornecimento de materiais e componentes eletroeletrônicos para a implantação de sistema de telemetria e telecomando em unidades operacionais da CAEMA em São Luís</v>
          </cell>
          <cell r="E90" t="str">
            <v>Pregão Eletrônico 029/2020 CAEMA</v>
          </cell>
          <cell r="F90" t="str">
            <v>15.452.988/0001-05</v>
          </cell>
          <cell r="G90" t="str">
            <v>Portaria 199/2023</v>
          </cell>
          <cell r="H90" t="str">
            <v>Antonio Rafael de Oliveira Portelada</v>
          </cell>
          <cell r="I90" t="str">
            <v>Alex Nonato Barros Costa</v>
          </cell>
          <cell r="J90">
            <v>45955</v>
          </cell>
          <cell r="K90">
            <v>72</v>
          </cell>
        </row>
        <row r="91">
          <cell r="A91" t="str">
            <v>050/2020</v>
          </cell>
          <cell r="B91" t="str">
            <v>DG</v>
          </cell>
          <cell r="C91" t="str">
            <v>C&amp;S VIGILÂNCIA E SEGURANÇA PATRIMONIAL EIRELI</v>
          </cell>
          <cell r="D91" t="str">
            <v>Contratação de empresa especializada em vigilância patrimonial e pessoal para a prestação de serviços de vigilância armada, para a Cidade de Imperatriz/MA</v>
          </cell>
          <cell r="E91" t="str">
            <v>Pregão Presencial Nº 014/2020 - PRE/CAEMA</v>
          </cell>
          <cell r="F91" t="str">
            <v>14.151.000/0002-88</v>
          </cell>
          <cell r="G91" t="str">
            <v>Portaria 290/2025</v>
          </cell>
          <cell r="H91" t="str">
            <v>Adonias Lima Coelho</v>
          </cell>
          <cell r="I91" t="str">
            <v>Abel Carlos Cavalcanti</v>
          </cell>
          <cell r="J91">
            <v>45955</v>
          </cell>
          <cell r="K91">
            <v>72</v>
          </cell>
        </row>
        <row r="92">
          <cell r="A92" t="str">
            <v>087/2023</v>
          </cell>
          <cell r="B92" t="str">
            <v>DG-LOCAÇÃO</v>
          </cell>
          <cell r="C92" t="str">
            <v>LETÁCIO DE SÁ COÊLHO (NOVA IORQUE)</v>
          </cell>
          <cell r="D92" t="str">
            <v>Locação do imóvel situado na Travessa da Rua Nova, s/n, Centro , no Município de Nova Iorque MA</v>
          </cell>
          <cell r="E92" t="str">
            <v>DISPENSA DE LICITAÇÃO N° 028/2023</v>
          </cell>
          <cell r="F92" t="str">
            <v>282.510.913-49</v>
          </cell>
          <cell r="J92">
            <v>45957</v>
          </cell>
          <cell r="K92">
            <v>74</v>
          </cell>
        </row>
        <row r="93">
          <cell r="A93" t="str">
            <v>036/2025</v>
          </cell>
          <cell r="B93" t="str">
            <v>DG</v>
          </cell>
          <cell r="C93" t="str">
            <v>CONTROLE SERVIÇOS E COMERCIO DE INFORMÁTICA</v>
          </cell>
          <cell r="D93" t="str">
            <v>Fornecimento com entrega de aparelhos de ar condicionado, conforme descrição e quantidade definidas na CLÁUSULA TERCEIRA, para atender às necessidades da Companhia de Saneamento Ambiental do Maranhão - CAEMA, conforme especificações e condições estabelecidas no Termo de Referência.</v>
          </cell>
          <cell r="E93" t="str">
            <v>Licitação Eletrônica n.º 035/2024-PRL/CAEMA</v>
          </cell>
          <cell r="F93" t="str">
            <v>10.592.584/0002-76</v>
          </cell>
          <cell r="G93" t="str">
            <v>Portaria 193/2025</v>
          </cell>
          <cell r="H93" t="str">
            <v>Edjunior de Abreu Mendes</v>
          </cell>
          <cell r="I93" t="str">
            <v>Adonias Lima Coelho</v>
          </cell>
          <cell r="J93">
            <v>45957</v>
          </cell>
          <cell r="K93">
            <v>74</v>
          </cell>
        </row>
        <row r="94">
          <cell r="A94" t="str">
            <v>037/2025</v>
          </cell>
          <cell r="B94" t="str">
            <v>DG</v>
          </cell>
          <cell r="C94" t="str">
            <v>O MOVELEIRO CIA</v>
          </cell>
          <cell r="D94" t="str">
            <v>Fornecimento com entrega de aparelhos de ar condicionado, para atender às necessidades da Companhia de Saneamento Ambiental do Maranhão - CAEMA, conforme especificações e condições estabelecidas no Termo de Referência, Anexo I, do Edital da Licitação Eletrônica n° 035/2024 – PRL/CAEMA, ATA DE REGISTRO DE PREÇOS Nº 003/2025.</v>
          </cell>
          <cell r="E94" t="str">
            <v>Licitação Eletrônica n.º 035/2024-PRL/CAEMA</v>
          </cell>
          <cell r="F94" t="str">
            <v>08.773.990/0001-02</v>
          </cell>
          <cell r="J94">
            <v>45957</v>
          </cell>
          <cell r="K94">
            <v>74</v>
          </cell>
        </row>
        <row r="95">
          <cell r="A95" t="str">
            <v>038/2025</v>
          </cell>
          <cell r="B95" t="str">
            <v>DG</v>
          </cell>
          <cell r="C95" t="str">
            <v>O.C. ARAUJO JM MULTIMAR LTDA</v>
          </cell>
          <cell r="D95" t="str">
            <v>Fornecimento com entrega de aparelhos de ar condicionado, conforme descrição e quantidade definidas na CLÁUSULA TERCEIRA, para atender às necessidades da Companhia de Saneamento Ambiental do Maranhão - CAEMA.</v>
          </cell>
          <cell r="E95" t="str">
            <v>Licitação Eletrônica n.º 035/2024-PRL/CAEMA</v>
          </cell>
          <cell r="F95" t="str">
            <v>28.489.248/0001-87</v>
          </cell>
          <cell r="J95">
            <v>45957</v>
          </cell>
          <cell r="K95">
            <v>74</v>
          </cell>
        </row>
        <row r="96">
          <cell r="A96" t="str">
            <v>035/2025</v>
          </cell>
          <cell r="B96" t="str">
            <v>DG</v>
          </cell>
          <cell r="C96" t="str">
            <v>M FELIPE GALVÃO LTDA</v>
          </cell>
          <cell r="D96" t="str">
            <v>Fornecimento com entrega de 10 (dez) aparelhos de ar condicionado, conforme descrição e quantidade definidas na CLÁUSULA TERCEIRA, para atender às necessidades da Companhia de Saneamento Ambiental do Maranhão - CAEMA.</v>
          </cell>
          <cell r="E96" t="str">
            <v>Licitação Eletrônica n.º 035/2024-PRL/CAEMA</v>
          </cell>
          <cell r="F96" t="str">
            <v>24.183.988/0001-30</v>
          </cell>
          <cell r="J96">
            <v>45958</v>
          </cell>
          <cell r="K96">
            <v>75</v>
          </cell>
        </row>
        <row r="97">
          <cell r="A97" t="str">
            <v>065/2024</v>
          </cell>
          <cell r="B97" t="str">
            <v>DO</v>
          </cell>
          <cell r="C97" t="str">
            <v xml:space="preserve">3D SERVIÇOS AMBIENTAIS LTDA </v>
          </cell>
          <cell r="D97" t="str">
            <v>Contratação de empresa para a prestação de serviços comuns de engenharia de manutenção de redes coletoras de esgoto da Companhia de Saneamento Ambiental do Maranhão — CAEMA, na cidade de Imperatriz/MA, LOTE 02</v>
          </cell>
          <cell r="E97" t="str">
            <v>DISPENSA DE LICITAÇÃO POR REMANESCENTE
N° 031/2024</v>
          </cell>
          <cell r="F97" t="str">
            <v>63.444.715/0001-53</v>
          </cell>
          <cell r="J97">
            <v>45959</v>
          </cell>
          <cell r="K97">
            <v>76</v>
          </cell>
        </row>
        <row r="98">
          <cell r="A98" t="str">
            <v>002/2025</v>
          </cell>
          <cell r="B98" t="str">
            <v>DE</v>
          </cell>
          <cell r="C98" t="str">
            <v>HIDREL ENGENHARIA LTDA</v>
          </cell>
          <cell r="D98" t="str">
            <v>Perfuração de 02 (dois) poços tubulares profundos, nos Municípios de Presidente Dutra e Pedreiras/MA.</v>
          </cell>
          <cell r="E98" t="str">
            <v>PREGÃO ELETRÔNICO
N° 024/2023</v>
          </cell>
          <cell r="F98" t="str">
            <v>73.864.233/0001-06</v>
          </cell>
          <cell r="G98" t="str">
            <v>Portaria 067/2025</v>
          </cell>
          <cell r="H98" t="str">
            <v>Sandro Sávio Soares Fonseca</v>
          </cell>
          <cell r="I98" t="str">
            <v>Daiane Volff Ferreira</v>
          </cell>
          <cell r="J98">
            <v>45959</v>
          </cell>
          <cell r="K98">
            <v>76</v>
          </cell>
        </row>
        <row r="99">
          <cell r="A99" t="str">
            <v>105/2023</v>
          </cell>
          <cell r="B99" t="str">
            <v>DG</v>
          </cell>
          <cell r="C99" t="str">
            <v>CSF SERVIÇOS DIGITAIS LTDA</v>
          </cell>
          <cell r="D99" t="str">
            <v xml:space="preserve">Locação de impressoras e multifuncionais </v>
          </cell>
          <cell r="E99" t="str">
            <v>PREGÃO ELETRONICO 011/2023</v>
          </cell>
          <cell r="F99">
            <v>8953969000199</v>
          </cell>
          <cell r="G99" t="str">
            <v>Portaria 176/2024</v>
          </cell>
          <cell r="H99" t="str">
            <v>Talyane Andrade de Matos</v>
          </cell>
          <cell r="I99" t="str">
            <v>Edjunior de Abreu Mendes</v>
          </cell>
          <cell r="J99">
            <v>45961</v>
          </cell>
          <cell r="K99">
            <v>78</v>
          </cell>
        </row>
        <row r="100">
          <cell r="A100" t="str">
            <v>106/2023</v>
          </cell>
          <cell r="B100" t="str">
            <v>DG</v>
          </cell>
          <cell r="C100" t="str">
            <v>FATOR COMÉRCIO E SERVIÇOS LTDA</v>
          </cell>
          <cell r="D100" t="str">
            <v xml:space="preserve">Locação de impressoras e multifuncionais através de solução de impressão departamental </v>
          </cell>
          <cell r="E100" t="str">
            <v>PREGÃO ELETRONICO 011/2023</v>
          </cell>
          <cell r="F100" t="str">
            <v>10.476.972/0001-00</v>
          </cell>
          <cell r="J100">
            <v>45961</v>
          </cell>
          <cell r="K100">
            <v>78</v>
          </cell>
        </row>
        <row r="101">
          <cell r="A101" t="str">
            <v>001/2025</v>
          </cell>
          <cell r="B101" t="str">
            <v>DE</v>
          </cell>
          <cell r="C101" t="str">
            <v>PALMARES CONSTRUÇÕES LTDA</v>
          </cell>
          <cell r="D101" t="str">
            <v>Execução dos serviços específicos de engenharia e hidrogeologia, para perfuração de 01 (um) poço tubular profundo no Sistema de Abastecimento do Município de Mata Roma/MA, pertencente à Gerência de Chapadinha/MA (Lote 02).</v>
          </cell>
          <cell r="E101" t="str">
            <v>PREGÃO ELETRÔNICO Nº 024/2023 - PRE/CAEMA- ARP n° 020/2023-CAEMA</v>
          </cell>
          <cell r="F101" t="str">
            <v>11.302.593/0001-67</v>
          </cell>
          <cell r="J101">
            <v>45967</v>
          </cell>
          <cell r="K101">
            <v>84</v>
          </cell>
        </row>
        <row r="102">
          <cell r="A102" t="str">
            <v>039/2025</v>
          </cell>
          <cell r="B102" t="str">
            <v>DG</v>
          </cell>
          <cell r="C102" t="str">
            <v>AGASERV COMÉRCIO E ASSISTÊNCIA TÉCNICA EIRELI</v>
          </cell>
          <cell r="D102" t="str">
            <v>Fornecimento com entrega de aparelhos de 10 (dez) aparelhos de ar condicionado</v>
          </cell>
          <cell r="E102" t="str">
            <v>Licitação Eletrônica n.º 035/2024-PRL/CAEMA</v>
          </cell>
          <cell r="F102" t="str">
            <v>77.853.083/0003-58</v>
          </cell>
          <cell r="J102">
            <v>45967</v>
          </cell>
          <cell r="K102">
            <v>84</v>
          </cell>
        </row>
        <row r="103">
          <cell r="A103" t="str">
            <v>088/2023</v>
          </cell>
          <cell r="B103" t="str">
            <v>DG-LOCAÇÃO</v>
          </cell>
          <cell r="C103" t="str">
            <v>JOSÉ CARLOS PONTES (BENEDITO LEITE)</v>
          </cell>
          <cell r="D103" t="str">
            <v>Locação do imóvel situado na Rua Getúlio Vargas, s/n, centro, no Município de Benedito Leite/MA, para funcionamento do Escritório Local nesse Município</v>
          </cell>
          <cell r="E103" t="str">
            <v>DISPENSA DE LICITAÇÃO N° 029/2023</v>
          </cell>
          <cell r="F103" t="str">
            <v>151.807.351-49</v>
          </cell>
          <cell r="J103">
            <v>45969</v>
          </cell>
          <cell r="K103">
            <v>86</v>
          </cell>
        </row>
        <row r="104">
          <cell r="A104" t="str">
            <v>068/2024</v>
          </cell>
          <cell r="B104" t="str">
            <v>DO</v>
          </cell>
          <cell r="C104" t="str">
            <v xml:space="preserve">SANEMAR LTDA </v>
          </cell>
          <cell r="D104" t="str">
            <v>Fornecimento com entrega de 710.000 kg (setecentos e dez mil quilos) de CAL HIDRATADA (hidróxido de cálcio) para uso como auxiliar de coagulação no tratamento de água, destinada ao consumo humano, dos Sistemas de Abastecimento de Água de São Luís e do Interior do Estado do Maranhão, operados pela Companhia de Saneamento Ambiental do Maranhão – CAEMA.</v>
          </cell>
          <cell r="E104" t="str">
            <v>LICITAÇÃO ELETRÔNICA
 N° 016/2024</v>
          </cell>
          <cell r="F104" t="str">
            <v>10.340.491/0001-73</v>
          </cell>
          <cell r="J104">
            <v>45969</v>
          </cell>
          <cell r="K104">
            <v>86</v>
          </cell>
        </row>
        <row r="105">
          <cell r="A105" t="str">
            <v>069/2024</v>
          </cell>
          <cell r="B105" t="str">
            <v>DO</v>
          </cell>
          <cell r="C105" t="str">
            <v xml:space="preserve">PONTO FORTE CONSTRUÇÕES E EMPREENDIMENTOS </v>
          </cell>
          <cell r="D105" t="str">
            <v>Contratação de empresa especializada para execução de serviços de manutenção de redes, ramais prediais e pequenas ampliações de redes dos sistemas de abastecimento de água da região do Centro de São Luís/MA.</v>
          </cell>
          <cell r="E105" t="str">
            <v>LICITAÇÃO ELETRÔNICA
 N° 022/2024</v>
          </cell>
          <cell r="F105" t="str">
            <v>01.958.324/0001-08</v>
          </cell>
          <cell r="J105">
            <v>45969</v>
          </cell>
          <cell r="K105">
            <v>86</v>
          </cell>
        </row>
        <row r="106">
          <cell r="A106" t="str">
            <v>071/2024</v>
          </cell>
          <cell r="B106" t="str">
            <v>DG</v>
          </cell>
          <cell r="C106" t="str">
            <v xml:space="preserve">F E DOS SANTOS COMÉRCIO LTDA </v>
          </cell>
          <cell r="D106" t="str">
            <v xml:space="preserve">Contratação de empresa especializada para a prestação de serviços gráficos diversos.
</v>
          </cell>
          <cell r="E106" t="str">
            <v>DISPENSA DE LICITAÇÃO
N° 036/2024</v>
          </cell>
          <cell r="F106" t="str">
            <v>06.315.506/0001-76</v>
          </cell>
          <cell r="J106">
            <v>45974</v>
          </cell>
          <cell r="K106">
            <v>91</v>
          </cell>
        </row>
        <row r="107">
          <cell r="A107" t="str">
            <v>093/2022</v>
          </cell>
          <cell r="B107" t="str">
            <v>DO</v>
          </cell>
          <cell r="C107" t="str">
            <v>AP ENGETECH LTDA</v>
          </cell>
          <cell r="D107" t="str">
            <v>Serviços técnicos eventuais SOB DEMANDA de manutenção elétrica corretiva em subestações aéreas até 300 kVA, entrada de energia, ramal de ligação de Subestações Abrigadas e em Redes de Distribuição de Energia Elétrica até 15 kV, instaladas nas diversas Unidades Operacionais da CAEMA</v>
          </cell>
          <cell r="E107" t="str">
            <v>Pregão Eletrônico 044/2022/PRE-CAEMA- PE0442022</v>
          </cell>
          <cell r="F107" t="str">
            <v>12.769.072/0001-87</v>
          </cell>
          <cell r="J107">
            <v>45981</v>
          </cell>
          <cell r="K107">
            <v>98</v>
          </cell>
        </row>
        <row r="108">
          <cell r="A108" t="str">
            <v>079/2021</v>
          </cell>
          <cell r="B108" t="str">
            <v>DC</v>
          </cell>
          <cell r="C108" t="str">
            <v>SERASA</v>
          </cell>
          <cell r="D108" t="str">
            <v>Contratação de empresa para prestação de serviços continuados de inclusão deregistro de pessoa física e/ou juridica no serviço de proteção ao crédito.</v>
          </cell>
          <cell r="E108" t="str">
            <v>Pregão Eletrônico nº 039/2021</v>
          </cell>
          <cell r="F108" t="str">
            <v>62.173.620/0001-80</v>
          </cell>
          <cell r="J108">
            <v>45982</v>
          </cell>
          <cell r="K108">
            <v>99</v>
          </cell>
        </row>
        <row r="109">
          <cell r="A109" t="str">
            <v>043/2025</v>
          </cell>
          <cell r="B109" t="str">
            <v>DG</v>
          </cell>
          <cell r="C109" t="str">
            <v>CONTROLE SERVIÇOS E COMERCIO DE INFORMÁRICA</v>
          </cell>
          <cell r="D109" t="str">
            <v>Fornecimento com entrega de equipamentos de informática.</v>
          </cell>
          <cell r="E109" t="str">
            <v>Licitação Eletrônica n.º 030/2024-PRL/CAEMA</v>
          </cell>
          <cell r="F109" t="str">
            <v>10.592.584/0002-76</v>
          </cell>
          <cell r="J109">
            <v>45982</v>
          </cell>
          <cell r="K109">
            <v>99</v>
          </cell>
        </row>
        <row r="110">
          <cell r="A110" t="str">
            <v>093/2021</v>
          </cell>
          <cell r="B110" t="str">
            <v>PR</v>
          </cell>
          <cell r="C110" t="str">
            <v>CHAGAS E RODRIGUES SÁ ADVOCACIA</v>
          </cell>
          <cell r="D110" t="str">
            <v xml:space="preserve"> Contratação de empresa especializada na prestação de contratação dos serviços técnicos especializados de consultoria jurídica administrativa e contenciosa na área de direito ambiental, perante todas as instâncias possíveis do Poder Judiciário, a serem prestados por sociedade de advogados para a Companhia de Saneamento Ambiental do Maranhão, e Superiores.</v>
          </cell>
          <cell r="E110" t="str">
            <v>Pregão Eletrônico nº 001/2021</v>
          </cell>
          <cell r="F110" t="str">
            <v>038.182.248/0001-93</v>
          </cell>
          <cell r="J110">
            <v>45983</v>
          </cell>
          <cell r="K110">
            <v>100</v>
          </cell>
        </row>
        <row r="111">
          <cell r="A111" t="str">
            <v>094/2022</v>
          </cell>
          <cell r="B111" t="str">
            <v>DG-LOCAÇÃO</v>
          </cell>
          <cell r="C111" t="str">
            <v>CONCEIÇÃO DE MARIA BASBOSA DE FREITAS (GOV. LUIZ ROCHA)</v>
          </cell>
          <cell r="D111" t="str">
            <v xml:space="preserve">Locação de imóvel para funcionamento do escritório local de Governador Luiz Rocha </v>
          </cell>
          <cell r="E111" t="str">
            <v>Dispensa de Licitação nº 012/2022</v>
          </cell>
          <cell r="F111" t="str">
            <v>977.630.203-34</v>
          </cell>
          <cell r="J111">
            <v>45984</v>
          </cell>
          <cell r="K111">
            <v>101</v>
          </cell>
        </row>
        <row r="112">
          <cell r="A112" t="str">
            <v>044/2025</v>
          </cell>
          <cell r="B112" t="str">
            <v>DE</v>
          </cell>
          <cell r="C112" t="str">
            <v>CAP - PROTENSÃO E CONSTRUÇÕES LTDA</v>
          </cell>
          <cell r="D112" t="str">
            <v>O presente Contrato tem por objeto a contratação de empresa especializada em recuperação de reservatórios, recuperação de ETAS e execução de serviços complementares visando atender à gerência de negócios de Imperatriz, gerência de negócios de Pedreiras, gerência de negócios de presidente Dutra, gerência de negócios de Colinas e gerência de Barreirinhas.</v>
          </cell>
          <cell r="E112" t="str">
            <v>Licitação Eletrônica n. º 034/2024-PRL/CAEMA</v>
          </cell>
          <cell r="F112" t="str">
            <v xml:space="preserve"> 09.624.532/0001-74</v>
          </cell>
          <cell r="J112">
            <v>45987</v>
          </cell>
          <cell r="K112">
            <v>104</v>
          </cell>
        </row>
        <row r="113">
          <cell r="A113" t="str">
            <v>056/2020</v>
          </cell>
          <cell r="B113" t="str">
            <v>DO</v>
          </cell>
          <cell r="C113" t="str">
            <v>PONTO FORTE CONSTRUÇÕES &amp; EMPREENDIMENTOS</v>
          </cell>
          <cell r="D113" t="str">
            <v>Execução de serviços de coleta, análises físico-químicas e bacteriológicas da água dos sistemas de abastecimento de água operados pela CAEMA</v>
          </cell>
          <cell r="E113" t="str">
            <v>PREGÃO ELETRÔNICO Nº 027/2020
PRE/CAEMA</v>
          </cell>
          <cell r="F113" t="str">
            <v>01.958.324/0001-08</v>
          </cell>
          <cell r="G113" t="str">
            <v>Portaria 255/2025</v>
          </cell>
          <cell r="H113" t="str">
            <v>Karines Gomes Ericeira</v>
          </cell>
          <cell r="I113" t="str">
            <v>Denis Monteiro do Nasc. Jr, Luis Felipe Pontes Silva, José Nilson Coelho Oliveira, Jackeline Cecilia Francos Goiabeira dentre outros...</v>
          </cell>
          <cell r="J113">
            <v>45988</v>
          </cell>
          <cell r="K113">
            <v>105</v>
          </cell>
        </row>
        <row r="114">
          <cell r="A114" t="str">
            <v>073/2024</v>
          </cell>
          <cell r="B114" t="str">
            <v>DG</v>
          </cell>
          <cell r="C114" t="str">
            <v xml:space="preserve">ATLANTA TURISMO LTDA </v>
          </cell>
          <cell r="D114" t="str">
            <v>Contratação de empresa especializada para reserva, emissão, marcação, remarcação e fornecimento de passagens aéreas nacionais, para atender às necessidades da Companhia de Saneamento Ambiental do Maranhão- CAEMA.</v>
          </cell>
          <cell r="E114" t="str">
            <v>LICITAÇÃO ELETRÔNICA
N° 018/2024</v>
          </cell>
          <cell r="F114" t="str">
            <v>08.022.073/0001-96</v>
          </cell>
          <cell r="J114">
            <v>45990</v>
          </cell>
          <cell r="K114">
            <v>107</v>
          </cell>
        </row>
        <row r="115">
          <cell r="A115" t="str">
            <v>105/2022</v>
          </cell>
          <cell r="B115" t="str">
            <v>DG</v>
          </cell>
          <cell r="C115" t="str">
            <v>IPNET SERVIÇOS EM NUVEM E DESENVOLVIMENTO DE</v>
          </cell>
          <cell r="D115" t="str">
            <v>Contratação de solução integrada de comunicação corporativa baseada em computação em nuvem(Cloud Computing) incluindo suporte técnico, implantação e treinamento</v>
          </cell>
          <cell r="E115" t="str">
            <v>Adesão a ARP PL  n°039/2021 - BANESE</v>
          </cell>
          <cell r="F115" t="str">
            <v>32.578.382/0001-21</v>
          </cell>
          <cell r="J115">
            <v>45992</v>
          </cell>
          <cell r="K115">
            <v>109</v>
          </cell>
        </row>
        <row r="116">
          <cell r="A116" t="str">
            <v>096/2021</v>
          </cell>
          <cell r="B116" t="str">
            <v>DG-LOCAÇÃO</v>
          </cell>
          <cell r="C116" t="str">
            <v>JOSÉ OSMAR SILVA (VITÓRIA DO MEARIM)</v>
          </cell>
          <cell r="D116" t="str">
            <v>Contatatato de  locação de imóvel situado na Rua Urbano
Santos, N° 85 — Centro, Município de Vitoria do Mearim/MA, para funcionamento do Escritório Local, com sua vigência de 12 (doze) meses, contados a partir da assinatura do
contrato.</v>
          </cell>
          <cell r="E116" t="str">
            <v>Dispensa de Licitação</v>
          </cell>
          <cell r="F116" t="str">
            <v>158.005.123-53</v>
          </cell>
          <cell r="J116">
            <v>45996</v>
          </cell>
          <cell r="K116">
            <v>113</v>
          </cell>
        </row>
        <row r="117">
          <cell r="A117" t="str">
            <v>057/2020</v>
          </cell>
          <cell r="B117" t="str">
            <v>DC</v>
          </cell>
          <cell r="C117" t="str">
            <v>VIACOM NEXT GENERATION COMUNICAÇÃO LTDA -</v>
          </cell>
          <cell r="D117" t="str">
            <v>Contratação de empresa especializada na prestação de serviços de planejamento, desenvolvimento, implantação,customização, integração, operação e gestão para atendimento de consumidores em geral, com cobertura de toda a área de concessão da CAEMA, através do fornecimento de Call Center ativo e receptivo.</v>
          </cell>
          <cell r="E117" t="str">
            <v>PREGÃO ELETRÔNICO Nº 0025/2020 - PRE/CAEMA</v>
          </cell>
          <cell r="F117" t="str">
            <v>6.172.384/0001-06</v>
          </cell>
          <cell r="J117">
            <v>45997</v>
          </cell>
          <cell r="K117">
            <v>114</v>
          </cell>
        </row>
        <row r="118">
          <cell r="A118" t="str">
            <v>070/2024</v>
          </cell>
          <cell r="B118" t="str">
            <v>DE</v>
          </cell>
          <cell r="C118" t="str">
            <v xml:space="preserve">BATALHA CONSTRUÇÃO LTDA </v>
          </cell>
          <cell r="D118" t="str">
            <v xml:space="preserve">A perfuração de um poço tubular profundo na Comunidade Sarney Costa, na cidade de São Luís-MA. </v>
          </cell>
          <cell r="E118" t="str">
            <v xml:space="preserve">PREGÃO ELETRÔNICO
 Nº 024/2023 </v>
          </cell>
          <cell r="F118" t="str">
            <v>07.908.484/0001-10</v>
          </cell>
          <cell r="J118">
            <v>45999</v>
          </cell>
          <cell r="K118">
            <v>116</v>
          </cell>
        </row>
        <row r="119">
          <cell r="A119" t="str">
            <v>107/2023</v>
          </cell>
          <cell r="B119" t="str">
            <v>DG</v>
          </cell>
          <cell r="C119" t="str">
            <v>MASTERPONTO EQUIPAMENTOS E SISTEMAS LTDA</v>
          </cell>
          <cell r="D119" t="str">
            <v>Contratação de empresa especializada para prestação dos serviços de manutenção preventiva e corretiva dos relogios de ponto eletrônico.</v>
          </cell>
          <cell r="E119" t="str">
            <v>DISPENSA DE LICITAÇÃO N° 030/2023</v>
          </cell>
          <cell r="F119" t="str">
            <v>07.652.413/0001-08</v>
          </cell>
          <cell r="J119">
            <v>46004</v>
          </cell>
          <cell r="K119">
            <v>121</v>
          </cell>
        </row>
        <row r="120">
          <cell r="A120" t="str">
            <v>079/2024</v>
          </cell>
          <cell r="B120" t="str">
            <v>DO</v>
          </cell>
          <cell r="C120" t="str">
            <v xml:space="preserve">DESTACK SERVIÇOS AMBIENTAIS </v>
          </cell>
          <cell r="D120"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01, CENTRO – SÃO LUÍS/MA</v>
          </cell>
          <cell r="E120" t="str">
            <v>LICITAÇÃO ELETRÔNICA
N° 021/2024</v>
          </cell>
          <cell r="F120" t="str">
            <v>23.682.131/0001-00</v>
          </cell>
          <cell r="J120">
            <v>46009</v>
          </cell>
          <cell r="K120">
            <v>126</v>
          </cell>
        </row>
        <row r="121">
          <cell r="A121" t="str">
            <v>080/2024</v>
          </cell>
          <cell r="B121" t="str">
            <v>DO</v>
          </cell>
          <cell r="C121" t="str">
            <v xml:space="preserve">DESTACK SERVIÇOS AMBIENTAIS </v>
          </cell>
          <cell r="D121"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02 - DISTRITO VINHAIS.</v>
          </cell>
          <cell r="E121" t="str">
            <v>LICITAÇÃO ELETRÔNICA
N° 021/2024</v>
          </cell>
          <cell r="F121" t="str">
            <v>23.682.131/0001-00</v>
          </cell>
          <cell r="J121">
            <v>46009</v>
          </cell>
          <cell r="K121">
            <v>126</v>
          </cell>
        </row>
        <row r="122">
          <cell r="A122" t="str">
            <v>081/2024</v>
          </cell>
          <cell r="B122" t="str">
            <v>DO</v>
          </cell>
          <cell r="C122" t="str">
            <v xml:space="preserve">DESTACK SERVIÇOS AMBIENTAIS </v>
          </cell>
          <cell r="D122"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03, DISTRITO COHAB.</v>
          </cell>
          <cell r="E122" t="str">
            <v>LICITAÇÃO ELETRÔNICA
N° 021/2024</v>
          </cell>
          <cell r="F122" t="str">
            <v>23.682.131/0001-00</v>
          </cell>
          <cell r="J122">
            <v>46009</v>
          </cell>
          <cell r="K122">
            <v>126</v>
          </cell>
        </row>
        <row r="123">
          <cell r="A123" t="str">
            <v>082/2024</v>
          </cell>
          <cell r="B123" t="str">
            <v>DO</v>
          </cell>
          <cell r="C123" t="str">
            <v xml:space="preserve">DESTACK SERVIÇOS AMBIENTAIS </v>
          </cell>
          <cell r="D123" t="str">
            <v>Prestação de serviços contínuos de desobstrução e limpeza de redes coletoras, ramais prediais, interceptores, emissários por gravidade, poços de visita,caixas de inspeção, estações elevatórias e estações de tratamento de esgotos dos Sistemas de Esgotamento Sanitário operados pela CAEMA, LOTE 05, REGIÃO METROPOLITANA OCNE.</v>
          </cell>
          <cell r="E123" t="str">
            <v>LICITAÇÃO ELETRÔNICA
N° 021/2024</v>
          </cell>
          <cell r="F123" t="str">
            <v>23.682.131/0001-00</v>
          </cell>
          <cell r="J123">
            <v>46009</v>
          </cell>
          <cell r="K123">
            <v>126</v>
          </cell>
        </row>
        <row r="124">
          <cell r="A124" t="str">
            <v>083/2024</v>
          </cell>
          <cell r="B124" t="str">
            <v>DO</v>
          </cell>
          <cell r="C124" t="str">
            <v xml:space="preserve">DESTACK SERVIÇOS AMBIENTAIS </v>
          </cell>
          <cell r="D124"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06, GERÊNCIA DE BARREIRINHAS/MA.</v>
          </cell>
          <cell r="E124" t="str">
            <v>LICITAÇÃO ELETRÔNICA
N° 021/2024</v>
          </cell>
          <cell r="F124" t="str">
            <v>23.682.131/0001-00</v>
          </cell>
          <cell r="J124">
            <v>46009</v>
          </cell>
          <cell r="K124">
            <v>126</v>
          </cell>
        </row>
        <row r="125">
          <cell r="A125" t="str">
            <v>042/2025</v>
          </cell>
          <cell r="B125" t="str">
            <v>DE</v>
          </cell>
          <cell r="C125" t="str">
            <v>TPF ENGENHARIA LTDA</v>
          </cell>
          <cell r="D125" t="str">
            <v>Contratação de empresa especializada para ELABORAÇÃO DE ESTUDOS DE CONCEPÇÃO, PROJETOS BÁSICO E EXECUTIVO PARA IMPLANTAÇÃO DE DESARENADOR (CAIXA DE AREIA) TIPO CANAL EM CONCRETO, FLUXO HORIZONTAL, DESTINADO A ATENDER A ESTAÇÃO ELEVATÓRIA DE ESGOTOS (EEE) PIMENTA (LOTE 1) E A ESTAÇÃO DE TRATAMENTO DE ESGOTOS (ETE) VINHAIS (LOTE 2).</v>
          </cell>
          <cell r="E125" t="str">
            <v>Licitação Eletrônica n. º 003/2025 - PRL/CAEMA</v>
          </cell>
          <cell r="F125" t="str">
            <v>12.285.441/0001-66</v>
          </cell>
          <cell r="J125">
            <v>46010</v>
          </cell>
          <cell r="K125">
            <v>127</v>
          </cell>
        </row>
        <row r="126">
          <cell r="A126" t="str">
            <v>078/2024</v>
          </cell>
          <cell r="B126" t="str">
            <v>DG</v>
          </cell>
          <cell r="C126" t="str">
            <v xml:space="preserve">APLEX DISTRIBUIDORA DE PRODUTOS DE TECNOLOGIA </v>
          </cell>
          <cell r="D126" t="str">
            <v>Contratação de empresa para a prestação de serviço comum, atinente ao fornecimento de 1000 (mil) licenças do Antivírus Kaspersky, para proteção das estações e servidores desta Companhia, com garantia de 01 ano.</v>
          </cell>
          <cell r="E126" t="str">
            <v>DISPENSA DE LICITAÇÃO
N° 039/2024</v>
          </cell>
          <cell r="F126" t="str">
            <v>24.413.094/0001-99</v>
          </cell>
          <cell r="J126">
            <v>46011</v>
          </cell>
          <cell r="K126">
            <v>128</v>
          </cell>
        </row>
        <row r="127">
          <cell r="A127" t="str">
            <v>108/2023</v>
          </cell>
          <cell r="B127" t="str">
            <v>DO</v>
          </cell>
          <cell r="C127" t="str">
            <v>BAUMINAS QUIMICA N-NE LTDA</v>
          </cell>
          <cell r="D127" t="str">
            <v>Aquisição de 160.000 kg sulfato de aluminio ferroso granulado para uso nos sistemas do Interior-MA</v>
          </cell>
          <cell r="E127" t="str">
            <v>PREGÃO ELETRONICO 068/2022</v>
          </cell>
          <cell r="F127">
            <v>23647365000701</v>
          </cell>
          <cell r="J127">
            <v>46012</v>
          </cell>
          <cell r="K127">
            <v>129</v>
          </cell>
        </row>
        <row r="128">
          <cell r="A128" t="str">
            <v>098/2023</v>
          </cell>
          <cell r="B128" t="str">
            <v>DC</v>
          </cell>
          <cell r="C128" t="str">
            <v>SETE OFFICE LTDA</v>
          </cell>
          <cell r="D128" t="str">
            <v xml:space="preserve"> Contratação de empresa especializada em produção gráfica de contas/faturas ou documentos similares para a notificação dos clientes da CAEMA</v>
          </cell>
          <cell r="E128" t="str">
            <v>PREGÃO ELETRONICO 019/2023</v>
          </cell>
          <cell r="F128">
            <v>26477376000185</v>
          </cell>
          <cell r="J128">
            <v>46014</v>
          </cell>
          <cell r="K128">
            <v>131</v>
          </cell>
        </row>
        <row r="129">
          <cell r="A129" t="str">
            <v>084/2024</v>
          </cell>
          <cell r="B129" t="str">
            <v>DO</v>
          </cell>
          <cell r="C129" t="str">
            <v xml:space="preserve">GOLDMAN SOLUÇÕES EM SANEAMENTO LTDA </v>
          </cell>
          <cell r="D129"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04, DISTRITO CIDADE OPERÁRIA/MA</v>
          </cell>
          <cell r="E129" t="str">
            <v>LICITAÇÃO ELETRÔNICA
N° 021/2024</v>
          </cell>
          <cell r="F129" t="str">
            <v>17.405.787/0001-74</v>
          </cell>
          <cell r="J129">
            <v>46021</v>
          </cell>
          <cell r="K129">
            <v>138</v>
          </cell>
        </row>
        <row r="130">
          <cell r="A130" t="str">
            <v>066/2020</v>
          </cell>
          <cell r="B130" t="str">
            <v>DG</v>
          </cell>
          <cell r="C130" t="str">
            <v>HAPVIDA ASSISTÊNCIA MÉDICA LTDA</v>
          </cell>
          <cell r="D130" t="str">
            <v>A prestação de serviços de assistência odontológica, para atender aos empregados da CAEMA e dependentes, com cobertura eletiva, envolvendo todos os meios de diagnóstico e tratamento em São Luís e em 9 (nove) Gerencias regio-nais, de forma integral, através de rede própria e/ou credenciada, e de urgência e/ou emergência em todo território nacional</v>
          </cell>
          <cell r="E130" t="str">
            <v>PREGÃO ELETRÔNICO Nº 031/2020/PRE/CAEMA</v>
          </cell>
          <cell r="F130" t="str">
            <v>63.554.067/0001-98</v>
          </cell>
          <cell r="J130">
            <v>46027</v>
          </cell>
          <cell r="K130">
            <v>144</v>
          </cell>
        </row>
        <row r="131">
          <cell r="A131" t="str">
            <v>112/2023</v>
          </cell>
          <cell r="B131" t="str">
            <v>DO</v>
          </cell>
          <cell r="C131" t="str">
            <v>JOÃO LUIZ DE ARAUJO MOTA (SUCUPIRA DO RIACHÃO)</v>
          </cell>
          <cell r="D131" t="str">
            <v>A Locatária recebe  em locação o imóvel situado na rua Grande, N°537, Centro, no Município de Sucupira do Riachão/MA</v>
          </cell>
          <cell r="E131" t="str">
            <v>DISPENSA DE LICITAÇÃO N° 033/2023</v>
          </cell>
          <cell r="F131" t="str">
            <v>258.088.001.10</v>
          </cell>
          <cell r="J131">
            <v>46035</v>
          </cell>
          <cell r="K131">
            <v>152</v>
          </cell>
        </row>
        <row r="132">
          <cell r="A132" t="str">
            <v>022/2024</v>
          </cell>
          <cell r="B132" t="str">
            <v>DO</v>
          </cell>
          <cell r="C132" t="str">
            <v xml:space="preserve">DINALAB COMÉRCIO E SERVIÇOS LTDA </v>
          </cell>
          <cell r="D132" t="str">
            <v>Aquisição de equipamentos, materiais e reagentes para uso no laboratório da Ete Vinhais, para realização do controle de qualidade dos efluentes das estações de tratamento de esgoto de São Luís e interior-MA</v>
          </cell>
          <cell r="E132" t="str">
            <v>PREGÃO ELETRÔNICO 040/2023</v>
          </cell>
          <cell r="F132" t="str">
            <v>32.578.926./0001-55</v>
          </cell>
          <cell r="J132">
            <v>46036</v>
          </cell>
          <cell r="K132">
            <v>153</v>
          </cell>
        </row>
        <row r="133">
          <cell r="A133" t="str">
            <v>044/2020</v>
          </cell>
          <cell r="B133" t="str">
            <v>DG</v>
          </cell>
          <cell r="C133" t="str">
            <v>SODEXO PASS DO BRASIL SERVIÇOS E COMERCIO S.A</v>
          </cell>
          <cell r="D133" t="str">
            <v xml:space="preserve"> Contratação de empresa especializada na administração, gerenciamento, emissão, distribuição e fornecimento de Vale Alimentação e Vale Refeição</v>
          </cell>
          <cell r="E133" t="str">
            <v>Pregão Eletronicoº 024/2020 - PRE/CAEMA</v>
          </cell>
          <cell r="F133" t="str">
            <v>69.034.668/0001-56</v>
          </cell>
          <cell r="J133">
            <v>46040</v>
          </cell>
          <cell r="K133">
            <v>157</v>
          </cell>
        </row>
        <row r="134">
          <cell r="A134" t="str">
            <v>003/2025</v>
          </cell>
          <cell r="B134" t="str">
            <v>PR</v>
          </cell>
          <cell r="C134" t="str">
            <v>THIAGO DIAZ ADVOGADOS ASSOCIADOS</v>
          </cell>
          <cell r="D134" t="str">
            <v>Contratação de empresa especializada na prestação de
serviços técnicos especializados de consultoria jurídica preventiva, administrativa e
contenciosa nas áreas de direito civil, consumidor, administrativa, tributária, penal, societária e regulatória,
judiciais e extrajudiciais, perante todas as instâncias dos Tribunais Estaduais, Federais, e Superiores,
inclusive Juizados Especiais Cíveis e Criminais, a serem prestados por sociedade de advogados para a
Companhia de Saneamento Ambiental do Maranhão - CAEMA</v>
          </cell>
          <cell r="E134" t="str">
            <v>INEXIGIBILIDADE DE LICITAÇÃO
N° 001/2025</v>
          </cell>
          <cell r="F134" t="str">
            <v>26.617.793/0001-86</v>
          </cell>
          <cell r="J134">
            <v>46043</v>
          </cell>
          <cell r="K134">
            <v>160</v>
          </cell>
        </row>
        <row r="135">
          <cell r="A135" t="str">
            <v>001/2024</v>
          </cell>
          <cell r="B135" t="str">
            <v>DG</v>
          </cell>
          <cell r="C135" t="str">
            <v>EMPRESA METODO TELECOMUNICAÇÕES E COMÉRCIO LTDA</v>
          </cell>
          <cell r="D135" t="str">
            <v>Prestação de serviços de telefonia VOIP (PABX CLOUD)</v>
          </cell>
          <cell r="E135" t="str">
            <v>PREGÃO ELETRONICO 035/2023</v>
          </cell>
          <cell r="F135" t="str">
            <v>65295172000185</v>
          </cell>
          <cell r="J135">
            <v>46046</v>
          </cell>
          <cell r="K135">
            <v>163</v>
          </cell>
        </row>
        <row r="136">
          <cell r="A136" t="str">
            <v>001/2021</v>
          </cell>
          <cell r="B136" t="str">
            <v>DG</v>
          </cell>
          <cell r="C136" t="str">
            <v>SINDICATO DAS EMPRESAS DE TRANSPORTES - SET</v>
          </cell>
          <cell r="D136" t="str">
            <v xml:space="preserve">Contratação de empresa para prestação dos serviços de fornecimento de vale transporte eletrônico aos empregados pelo período de 12 (doze) meses, pelo valor estimado mensal R$ 85.746,70 (oitenta e inco mil setecentos e quarenta e seis reais e setenta centavos) e pelo valor anual R$ 1.028.960,40 (um milhão vinte e oito mil novecentos e sessenta reais e quarenta centavos). </v>
          </cell>
          <cell r="E136" t="str">
            <v>Inexigibilidade de Licitação</v>
          </cell>
          <cell r="F136" t="str">
            <v>05.750.146/0001-78</v>
          </cell>
          <cell r="J136">
            <v>46046</v>
          </cell>
          <cell r="K136">
            <v>163</v>
          </cell>
        </row>
        <row r="137">
          <cell r="A137" t="str">
            <v>001/2024</v>
          </cell>
          <cell r="B137" t="str">
            <v>DG</v>
          </cell>
          <cell r="C137" t="str">
            <v>MÉTODO TELECOMUNICAÇÕES E COMÉRCIO LTDA</v>
          </cell>
          <cell r="D137" t="str">
            <v>Prestação de serviços de telefonia VOIP (PABX CLOUD)</v>
          </cell>
          <cell r="E137" t="str">
            <v>PREGÃO ELETRONICO 035/2023</v>
          </cell>
          <cell r="F137" t="str">
            <v>65295172000185</v>
          </cell>
          <cell r="J137">
            <v>46046</v>
          </cell>
          <cell r="K137">
            <v>163</v>
          </cell>
        </row>
        <row r="138">
          <cell r="A138" t="str">
            <v>006/2024</v>
          </cell>
          <cell r="B138" t="str">
            <v>DG</v>
          </cell>
          <cell r="C138" t="str">
            <v>MARANHÃO PARCERIAS MAPA</v>
          </cell>
          <cell r="D138" t="str">
            <v xml:space="preserve">Gerenciamento de prestação dos serviços continuados de vigilância eletrônica monitorada à distância, em regime de comodato, contemplando o fornecimento de todos os equipamentos, materiais e mão de obra para a implantação/instalação, manutenção preventiva e corretiva e o monitoramento a distância
</v>
          </cell>
          <cell r="E138" t="str">
            <v xml:space="preserve">DISPENSA DE LICITAÇÃO  N° </v>
          </cell>
          <cell r="F138" t="str">
            <v>06281794000195</v>
          </cell>
          <cell r="J138">
            <v>46054</v>
          </cell>
          <cell r="K138">
            <v>171</v>
          </cell>
        </row>
        <row r="139">
          <cell r="A139" t="str">
            <v>102/2021</v>
          </cell>
          <cell r="B139" t="str">
            <v>DO</v>
          </cell>
          <cell r="C139" t="str">
            <v>INNOVATIVE WATER CARE INDUSTRIA E COMÉRCIO</v>
          </cell>
          <cell r="D139" t="str">
            <v>Aquisição de Hipoclorito de Cálcio em Tablete e Hipoclorito de Cálcio Granulado, para uso como agente de desinfecção no processo de tratamento da água dos Poços Tubulares Profundos, destinada ao consumo humano e na desinfecção de ETA’s e Redes de Distribuição de Água, com fornecimento de equipamentos em regime de comodato.</v>
          </cell>
          <cell r="E139" t="str">
            <v>Pregão Eletrônico nº 078/2021</v>
          </cell>
          <cell r="F139" t="str">
            <v>43.677.178/0010-75</v>
          </cell>
          <cell r="J139">
            <v>46063</v>
          </cell>
          <cell r="K139">
            <v>180</v>
          </cell>
        </row>
        <row r="140">
          <cell r="A140" t="str">
            <v>010/2022</v>
          </cell>
          <cell r="B140" t="str">
            <v>DO</v>
          </cell>
          <cell r="C140" t="str">
            <v>CIANO SOLUÇÕES AMBIENTAIS</v>
          </cell>
          <cell r="D140" t="str">
            <v>Contratação de empresa especializada para execução de serviços de coleta/retirada, transporte e destinação de lodo e materiais provenientes das estações de tratamento de esgoto – ETE’s – de São Luís/MA operadas pela Companhia de Saneamento Ambiental do Maranhão (CAEMA)</v>
          </cell>
          <cell r="E140" t="str">
            <v>Pregão Eletrônico nº 096/2021</v>
          </cell>
          <cell r="F140" t="str">
            <v>15.581.636/0002-22</v>
          </cell>
          <cell r="J140">
            <v>46066</v>
          </cell>
          <cell r="K140">
            <v>183</v>
          </cell>
        </row>
        <row r="141">
          <cell r="A141" t="str">
            <v>CV 001/2023</v>
          </cell>
          <cell r="B141" t="str">
            <v>DG</v>
          </cell>
          <cell r="C141" t="str">
            <v>SERVIÇO NACIONAL DE APREDIZAGEM INDUSTRIAL - SENAI</v>
          </cell>
          <cell r="D141" t="str">
            <v>Parceria entre a CAEMA e o SENAI para o desenvolvimento do Programa Jovem Aprendiz da CAEMA</v>
          </cell>
          <cell r="E141" t="str">
            <v>CONVÊNIO</v>
          </cell>
          <cell r="F141" t="str">
            <v>03.755.543/000179</v>
          </cell>
          <cell r="J141">
            <v>46068</v>
          </cell>
          <cell r="K141">
            <v>185</v>
          </cell>
        </row>
        <row r="142">
          <cell r="A142" t="str">
            <v>006/2021</v>
          </cell>
          <cell r="B142" t="str">
            <v>DO</v>
          </cell>
          <cell r="C142" t="str">
            <v>MVDC EMPREENDIMENTOS LTDA</v>
          </cell>
          <cell r="D142" t="str">
            <v>Prestação de serviços comuns de engenharia de recuperação de pavimentação asfáltica em vias públicas na cidade de São Luis — MA</v>
          </cell>
          <cell r="E142" t="str">
            <v>Pregão Eletrônico nº 037/2020 - PRE/CAEMA</v>
          </cell>
          <cell r="F142" t="str">
            <v>6.746.084/0001-09</v>
          </cell>
          <cell r="J142">
            <v>46069</v>
          </cell>
          <cell r="K142">
            <v>186</v>
          </cell>
        </row>
        <row r="143">
          <cell r="A143" t="str">
            <v>040/2025</v>
          </cell>
          <cell r="B143" t="str">
            <v>DE</v>
          </cell>
          <cell r="C143" t="str">
            <v>HIDREL ENGENHARIA LTDA</v>
          </cell>
          <cell r="D143" t="str">
            <v>Perfuração de 01 (um) poço tubular profundo, no município de Paraibano/MA.</v>
          </cell>
          <cell r="E143" t="str">
            <v>Pregão Eletrônico N.º 024/2023-PRE/CAEMA</v>
          </cell>
          <cell r="F143" t="str">
            <v>73.864.233/0001-06</v>
          </cell>
          <cell r="J143">
            <v>46071</v>
          </cell>
          <cell r="K143">
            <v>188</v>
          </cell>
        </row>
        <row r="144">
          <cell r="A144" t="str">
            <v>081/2023</v>
          </cell>
          <cell r="B144" t="str">
            <v>DE</v>
          </cell>
          <cell r="C144" t="str">
            <v>QUALITECH ENGENHARIA LTDA</v>
          </cell>
          <cell r="D144" t="str">
            <v>Execução de obras e serviço de conclusão de implementação e ampliação do Sistema de esgotamento de Sanitário de São Luís MA Etapa 1 - Sistema Vinhais (PAC1)</v>
          </cell>
          <cell r="E144" t="str">
            <v>DISPENSA DE LICITAÇÃO N° 022/2023</v>
          </cell>
          <cell r="F144" t="str">
            <v>69.388.361/0001-53</v>
          </cell>
          <cell r="J144">
            <v>46073</v>
          </cell>
          <cell r="K144">
            <v>190</v>
          </cell>
        </row>
        <row r="145">
          <cell r="A145" t="str">
            <v>008/2025</v>
          </cell>
          <cell r="B145" t="str">
            <v>DG</v>
          </cell>
          <cell r="C145" t="str">
            <v>AROMA E SABOR ALIMENTOS</v>
          </cell>
          <cell r="D145" t="str">
            <v>Contratação de empresa especializada em fornecimento de refeições, compreendendo preparação, transporte e distribuição, fornecimento de insumos (gêneros alimentícios, materiais de limpeza e descartáveis), higienização de utensílios, equipamentos, dedetização da área física, manutenção corretiva e preventiva de equipamentos.</v>
          </cell>
          <cell r="E145" t="str">
            <v>LICITAÇÃO ELETRÔNICA
N° 032/2024</v>
          </cell>
          <cell r="F145" t="str">
            <v>13.386.808/0001-09</v>
          </cell>
          <cell r="G145" t="str">
            <v>Portaria 364/2025</v>
          </cell>
          <cell r="H145" t="str">
            <v>Adonias Lima Coelho</v>
          </cell>
          <cell r="I145" t="str">
            <v>Tanilse de Fatima Moraes Lima</v>
          </cell>
          <cell r="J145">
            <v>46073</v>
          </cell>
          <cell r="K145">
            <v>190</v>
          </cell>
        </row>
        <row r="146">
          <cell r="A146" t="str">
            <v>017/2022</v>
          </cell>
          <cell r="B146" t="str">
            <v>PR</v>
          </cell>
          <cell r="C146" t="str">
            <v>PIRES E MENEZES SOARES ADVOGADOS</v>
          </cell>
          <cell r="D146" t="str">
            <v>Contratação de serviços técnicos especializados de consultoria juridica preventiva,administrativa e contenciosa nas áreas de direito trabalhista e previdenciário,perante todas as instancias dos Tribunais Regionais e Superioresa serem prestados por sociedade de advogados para CAEMA</v>
          </cell>
          <cell r="E146" t="str">
            <v>Pregão Presencialnº 003/2021</v>
          </cell>
          <cell r="F146" t="str">
            <v>21.573.226/0001-51</v>
          </cell>
          <cell r="J146">
            <v>46077</v>
          </cell>
          <cell r="K146">
            <v>194</v>
          </cell>
        </row>
        <row r="147">
          <cell r="A147" t="str">
            <v>012/2025</v>
          </cell>
          <cell r="B147" t="str">
            <v>DO</v>
          </cell>
          <cell r="C147" t="str">
            <v>ORIONSISTEM EQUIPAMENTOS INDUSTRIAIS LTDA</v>
          </cell>
          <cell r="D147" t="str">
            <v>Contratação de empresa especializada para execução de serviços de manutenção de redes, ramais prediais e pequenas ampliações de redes dos Sistemas de Abastecimento de Água da cidade de Imperatriz-MA.</v>
          </cell>
          <cell r="E147" t="str">
            <v>LICITAÇÃO ELETRÔNICA
N° 033/2024 - PRL/CAEMA</v>
          </cell>
          <cell r="F147" t="str">
            <v>04539534/0001-41</v>
          </cell>
          <cell r="J147">
            <v>46087</v>
          </cell>
          <cell r="K147">
            <v>204</v>
          </cell>
        </row>
        <row r="148">
          <cell r="A148" t="str">
            <v>012/2021</v>
          </cell>
          <cell r="B148" t="str">
            <v>DG</v>
          </cell>
          <cell r="C148" t="str">
            <v>AUDILINK &amp; CIA AUDITORES</v>
          </cell>
          <cell r="D148" t="str">
            <v>Contratação de empresa especializada para a prestação de serviços de auditoria independente nas demonstrações contábeis da Companhia de Saneamento Ambiental do Maranhão — CAEMA para o exercício a findar-se em 31 de dezembro de 2020 e os 03 (três) primeiros trimestres de 2021</v>
          </cell>
          <cell r="E148" t="str">
            <v>Pregão Eletrônico nº° 001/2021 - PRE/CAEMA</v>
          </cell>
          <cell r="F148" t="str">
            <v>02.163.575/0012-03</v>
          </cell>
          <cell r="J148">
            <v>46090</v>
          </cell>
          <cell r="K148">
            <v>207</v>
          </cell>
        </row>
        <row r="149">
          <cell r="A149" t="str">
            <v>001/2024</v>
          </cell>
          <cell r="B149" t="str">
            <v>TCT - DG</v>
          </cell>
          <cell r="C149" t="str">
            <v>FÁCIL SOLUÇÕES TECNOLÓGICAS EM INFORMÁTICA S/A</v>
          </cell>
          <cell r="D149" t="str">
            <v>Prestação de serviços de telefonia VOIP (PABX CLOUD)</v>
          </cell>
          <cell r="E149" t="str">
            <v>PREGÃO ELETRONICO 035/2023</v>
          </cell>
          <cell r="F149" t="str">
            <v>65295172000185</v>
          </cell>
          <cell r="J149">
            <v>46046</v>
          </cell>
          <cell r="K149">
            <v>163</v>
          </cell>
        </row>
        <row r="150">
          <cell r="A150" t="str">
            <v>014/2025</v>
          </cell>
          <cell r="B150" t="str">
            <v>DO</v>
          </cell>
          <cell r="C150" t="str">
            <v>N DA P SANTOS AMORIM AUTO PEÇAS</v>
          </cell>
          <cell r="D150" t="str">
            <v xml:space="preserve"> 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01 – SÃO LUÍS).</v>
          </cell>
          <cell r="E150" t="str">
            <v>Licitação Eletrônica n. º 025/2024 - PRL/CAEMA</v>
          </cell>
          <cell r="F150" t="str">
            <v>27.428.840/0001-06</v>
          </cell>
          <cell r="J150">
            <v>46101</v>
          </cell>
          <cell r="K150">
            <v>218</v>
          </cell>
        </row>
        <row r="151">
          <cell r="A151" t="str">
            <v>015/2025</v>
          </cell>
          <cell r="B151" t="str">
            <v>DO</v>
          </cell>
          <cell r="C151" t="str">
            <v>N DA P SANTOS AMORIM AUTO PEÇAS</v>
          </cell>
          <cell r="D151" t="str">
            <v>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02 - ITAPECURU MIRIM, BARREIRINHAS, CHAPADINHA E COROATÁ)</v>
          </cell>
          <cell r="E151" t="str">
            <v xml:space="preserve"> Licitação Eletrônica n. º 025/2024- PRL/CAEMA</v>
          </cell>
          <cell r="F151" t="str">
            <v>27.428.840/0001-06</v>
          </cell>
          <cell r="J151">
            <v>46101</v>
          </cell>
          <cell r="K151">
            <v>218</v>
          </cell>
        </row>
        <row r="152">
          <cell r="A152" t="str">
            <v>016/2025</v>
          </cell>
          <cell r="B152" t="str">
            <v>DO</v>
          </cell>
          <cell r="C152" t="str">
            <v>N DA P SANTOS AMORIM AUTO PEÇAS</v>
          </cell>
          <cell r="D152" t="str">
            <v>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03 – IMPERATRIZ).</v>
          </cell>
          <cell r="E152" t="str">
            <v xml:space="preserve"> Licitação Eletrônica n. º 025/2024- PRL/CAEMA</v>
          </cell>
          <cell r="F152" t="str">
            <v>27.428.840/0001-07</v>
          </cell>
          <cell r="J152">
            <v>46101</v>
          </cell>
          <cell r="K152">
            <v>218</v>
          </cell>
        </row>
        <row r="153">
          <cell r="A153" t="str">
            <v>006/2023</v>
          </cell>
          <cell r="B153" t="str">
            <v>DG</v>
          </cell>
          <cell r="C153" t="str">
            <v>PAGPLAN SERVIÇOS DE TECNOLOGIA EM PAGAMENTOS LTDA</v>
          </cell>
          <cell r="D153" t="str">
            <v>Credenciarnento de empresa especializada, adquirente ou subadquirente, para prestação de serviços na modalidade de licenciamento e fornecimento de gateway de pagamentos para prover aos clientes CAEMA o meio de pagamentos on-line, por meio eletrônico, que possibilite realizar a captura, roteamento, transmissão e processamento de transações financeiras com cartões de crédito e débito, à vista e parcelados, para operações de pagamento oriundos das contas de consumo, multas e demais taxas devidas de recebiveis dos Clientes desta Companhia</v>
          </cell>
          <cell r="E153" t="str">
            <v>CREDENCIAMENTO N° 001/2019</v>
          </cell>
          <cell r="F153" t="str">
            <v>37.224.002/0001-74</v>
          </cell>
          <cell r="J153">
            <v>46105</v>
          </cell>
          <cell r="K153">
            <v>222</v>
          </cell>
        </row>
        <row r="154">
          <cell r="A154" t="str">
            <v>024/2022</v>
          </cell>
          <cell r="B154" t="str">
            <v>DE</v>
          </cell>
          <cell r="C154" t="str">
            <v>MAPDATA TECNOLOGIA INFORMÁTICA E COMÉRCIO</v>
          </cell>
          <cell r="D154" t="str">
            <v>Aquisição de licenças (assinaturas) de uso de softwares autodesck, versão 2022 ou superior com transferência de conhecimento tecnologico,para implantação da metodologia BIM</v>
          </cell>
          <cell r="E154" t="str">
            <v>Adesão a ARP nº 02/2021/COSANPA.  (CARONA)</v>
          </cell>
          <cell r="F154" t="str">
            <v>66.582.784/0001-11</v>
          </cell>
          <cell r="J154">
            <v>46105</v>
          </cell>
          <cell r="K154">
            <v>222</v>
          </cell>
        </row>
        <row r="155">
          <cell r="A155" t="str">
            <v>008/2023</v>
          </cell>
          <cell r="B155" t="str">
            <v>DG-LOCAÇÃO</v>
          </cell>
          <cell r="C155" t="str">
            <v>KELLY ANNE LIMA FERREIRA (DAVINOPOLIS)</v>
          </cell>
          <cell r="D155" t="str">
            <v>Locação o imóvel para funcionamento do Escritório Local no Município de DAVINÓPOLIS/MA</v>
          </cell>
          <cell r="E155" t="str">
            <v>DISPENSA DE LICITAÇÃO  N° 04/2023</v>
          </cell>
          <cell r="F155" t="str">
            <v xml:space="preserve"> 009.431.743-76</v>
          </cell>
          <cell r="J155">
            <v>46107</v>
          </cell>
          <cell r="K155">
            <v>224</v>
          </cell>
        </row>
        <row r="156">
          <cell r="A156" t="str">
            <v>014/2023</v>
          </cell>
          <cell r="B156" t="str">
            <v>DG-LOCAÇÃO</v>
          </cell>
          <cell r="C156" t="str">
            <v>APARECIDA MARIA DE SOUZA SILVA (SÃO PEDRO DA AGUA BRANCA)</v>
          </cell>
          <cell r="D156" t="str">
            <v>Locação de imóvel para funcionamento do Escritório Local no Município de SÃO PEDRO DA ÁGUA BRANCA/MA.</v>
          </cell>
          <cell r="E156" t="str">
            <v>DISPENSA DE LICITAÇÃO  N° 003/2023</v>
          </cell>
          <cell r="F156" t="str">
            <v>302.490.312-72</v>
          </cell>
          <cell r="J156">
            <v>46110</v>
          </cell>
          <cell r="K156">
            <v>227</v>
          </cell>
        </row>
        <row r="157">
          <cell r="A157" t="str">
            <v>023/2022</v>
          </cell>
          <cell r="B157" t="str">
            <v>DG</v>
          </cell>
          <cell r="C157" t="str">
            <v>PRIME CONSTRUÇÕES E SERVIÇOS EIRELI</v>
          </cell>
          <cell r="D157" t="str">
            <v>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em IMPERATRIZ (LOTE 02)</v>
          </cell>
          <cell r="E157" t="str">
            <v>Pregão Eletrônico n.° 083/2021</v>
          </cell>
          <cell r="F157" t="str">
            <v>04.365.758/0001-84</v>
          </cell>
          <cell r="J157">
            <v>46110</v>
          </cell>
          <cell r="K157">
            <v>227</v>
          </cell>
        </row>
        <row r="158">
          <cell r="A158" t="str">
            <v>010/2023</v>
          </cell>
          <cell r="B158" t="str">
            <v>DG-LOCAÇÃO</v>
          </cell>
          <cell r="C158" t="str">
            <v>MARIA DOS AFLITOS VIANA (SANTA QUITERIA)</v>
          </cell>
          <cell r="D158" t="str">
            <v>Locação de imóvel para funcionamento do Escritório Local no Município de Santa Quitéria/MA</v>
          </cell>
          <cell r="E158" t="str">
            <v>DISPENSA DE LICITAÇÃO  N° 05/2023</v>
          </cell>
          <cell r="F158" t="str">
            <v>471.421.623-68</v>
          </cell>
          <cell r="J158">
            <v>46110</v>
          </cell>
          <cell r="K158">
            <v>227</v>
          </cell>
        </row>
        <row r="159">
          <cell r="A159" t="str">
            <v>011/2023</v>
          </cell>
          <cell r="B159" t="str">
            <v>DG-LOCAÇÃO</v>
          </cell>
          <cell r="C159" t="str">
            <v>OSMARINA GOMES DUARTE (AFONSO CUNHA)</v>
          </cell>
          <cell r="D159" t="str">
            <v>Locação o imóvel para funcionamento do Escritório Local no Município de AFONSO CUNHA/MA</v>
          </cell>
          <cell r="E159" t="str">
            <v>DISPENSA DE LICITAÇÃO  N° 02/2023</v>
          </cell>
          <cell r="F159" t="str">
            <v>449.297.573-04</v>
          </cell>
          <cell r="J159">
            <v>46110</v>
          </cell>
          <cell r="K159">
            <v>227</v>
          </cell>
        </row>
        <row r="160">
          <cell r="A160" t="str">
            <v>022/2022</v>
          </cell>
          <cell r="B160" t="str">
            <v>DG</v>
          </cell>
          <cell r="C160" t="str">
            <v>MALKA SERVICE LTDA EPP</v>
          </cell>
          <cell r="D160" t="str">
            <v>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localizados na capital ITALUIS - LOTE 01</v>
          </cell>
          <cell r="E160" t="str">
            <v>Pregão Eletrônico n.° 083/2021</v>
          </cell>
          <cell r="F160" t="str">
            <v>24.891.740/0001-23</v>
          </cell>
          <cell r="J160">
            <v>46112</v>
          </cell>
          <cell r="K160">
            <v>229</v>
          </cell>
        </row>
        <row r="161">
          <cell r="A161" t="str">
            <v>001/2022</v>
          </cell>
          <cell r="B161" t="str">
            <v>DG</v>
          </cell>
          <cell r="C161" t="str">
            <v>PD CASE/RAS INFORMÁTICA LTDA</v>
          </cell>
          <cell r="D161" t="str">
            <v>GARANTIA CONTRATUAL: n. 0306920229907750691792000</v>
          </cell>
          <cell r="E161" t="str">
            <v>GARANTIA CONTRATUAL</v>
          </cell>
          <cell r="F161" t="str">
            <v>38.519.484/0001-52</v>
          </cell>
          <cell r="J161">
            <v>46119</v>
          </cell>
          <cell r="K161">
            <v>236</v>
          </cell>
        </row>
        <row r="162">
          <cell r="A162" t="str">
            <v>030/2025</v>
          </cell>
          <cell r="B162" t="str">
            <v>DG</v>
          </cell>
          <cell r="C162" t="str">
            <v>MARANHÃO PARCERIAS MAPA</v>
          </cell>
          <cell r="D162" t="str">
            <v xml:space="preserve">  Contratação da MARANHÃO PARCERIAS - MAPA para o gerenciamento de 25 (vinte e cinco) postos de trabalho de vigilância desarmada, abrangendo turnos diurnos e noturnos, em regime contínuo, incluindo o fornecimento de todos os insumos, acessórios e equipamentos necessários, de forma a atender a necessidade da Companhia de Saneamento Ambiental do Maranhão - CAEMA em unidades localizadas em São Luís; nas Gerências de Serviços e Negócios de Pinheiro, Barreirinhas, Chapadinha, Pedreiras, Colinas, Santa Inês, Imperatriz, Itapecuru Mirim e Presidente Dutra; nas Coordenadorias Especiais de Coroatá, São João dos Patos, São Raimundo das Mangabeiras</v>
          </cell>
          <cell r="E162" t="str">
            <v>DISPENSA DE LICITAÇÃO</v>
          </cell>
          <cell r="F162" t="str">
            <v>06.281.794/0001-95</v>
          </cell>
          <cell r="J162">
            <v>46122</v>
          </cell>
          <cell r="K162">
            <v>239</v>
          </cell>
        </row>
        <row r="163">
          <cell r="A163" t="str">
            <v>024/2023</v>
          </cell>
          <cell r="B163" t="str">
            <v>DO</v>
          </cell>
          <cell r="C163" t="str">
            <v>SÓ POÇOS CONSTRUÇÕES EIRELI</v>
          </cell>
          <cell r="D163" t="str">
            <v>Serviços específicos de engenharia e hidrogeologia para manutenção e reabilitação de poços tubulares profundos operados pela CAEMA em Imperatriz/MA</v>
          </cell>
          <cell r="E163" t="str">
            <v>Pregão Eletrõnico n° 037/2022</v>
          </cell>
          <cell r="F163" t="str">
            <v>06.922.664/0001-94</v>
          </cell>
          <cell r="J163">
            <v>46125</v>
          </cell>
          <cell r="K163">
            <v>242</v>
          </cell>
        </row>
        <row r="164">
          <cell r="A164" t="str">
            <v>031/2025</v>
          </cell>
          <cell r="B164" t="str">
            <v>DG</v>
          </cell>
          <cell r="C164" t="str">
            <v>MIRAINOX LTDA</v>
          </cell>
          <cell r="D164" t="str">
            <v>O presente Contrato tem por objeto a aquisição de equipamentos e materiais, como a máquina envasadora, mesa acumuladora para envasar água mineral/tratada em copos, compatíveis com 200 até 300ml, com capacidade de produção de 2.500 a 3.100 unid/hora</v>
          </cell>
          <cell r="E164" t="str">
            <v>Licitação Eletrônica n.º 002/2025-PRL/CAEMA</v>
          </cell>
          <cell r="F164" t="str">
            <v>02.627.690/0001-39</v>
          </cell>
          <cell r="J164">
            <v>46128</v>
          </cell>
          <cell r="K164">
            <v>245</v>
          </cell>
        </row>
        <row r="165">
          <cell r="A165" t="str">
            <v>032/2025</v>
          </cell>
          <cell r="B165" t="str">
            <v>DG</v>
          </cell>
          <cell r="C165" t="str">
            <v>RD COMERCIAL</v>
          </cell>
          <cell r="D165" t="str">
            <v>O presente contrato tem por objeto a aquisição de equipamentos e materiais, como, copos plásticos, selos de alumínio e caixas de proteção de papelão, destinados exclusivamente ao processo de envase</v>
          </cell>
          <cell r="E165" t="str">
            <v>Licitação Eletrônica n.º 002/2025-PRL/CAEMA</v>
          </cell>
          <cell r="F165" t="str">
            <v>38.560.437/0001/52</v>
          </cell>
          <cell r="J165">
            <v>46128</v>
          </cell>
          <cell r="K165">
            <v>245</v>
          </cell>
        </row>
        <row r="166">
          <cell r="A166" t="str">
            <v>015/2023</v>
          </cell>
          <cell r="B166" t="str">
            <v>DO</v>
          </cell>
          <cell r="C166" t="str">
            <v>DESTACK SERVIÇOS AMBIENTAIS</v>
          </cell>
          <cell r="D166" t="str">
            <v>Serviços de desobstrução e limpeza de redes coletoras, ramais prediais, interceptores, emissários por gravidade, poços de visita, caixas de inspeção, estações elevatórias e estações de tratamento de esgotos, com utilização de equipamentos específicos, motoristas operadores, ajudantes de apoio e combustive!, além dos serviços de video inspeção por televisionamento, inspeção e relatório de diagnóstico e prognóstico de redes coletoras, do Sistema de Esgotamento Sanitário da cidade de Imperatriz/MA</v>
          </cell>
          <cell r="E166" t="str">
            <v>PREGÃO ELETRÔNICO N° 075/2022</v>
          </cell>
          <cell r="F166" t="str">
            <v>23.682.131/0001-00</v>
          </cell>
          <cell r="J166">
            <v>46130</v>
          </cell>
          <cell r="K166">
            <v>247</v>
          </cell>
        </row>
        <row r="167">
          <cell r="A167" t="str">
            <v>025/2023</v>
          </cell>
          <cell r="B167" t="str">
            <v>DG</v>
          </cell>
          <cell r="C167" t="str">
            <v>MJ TERCEIRIZAÇÃO E SERVIÇO LTDA</v>
          </cell>
          <cell r="D167" t="str">
            <v xml:space="preserve">Serviço de manutenção preventiva e corretiva em aparelhos de ar condicionados tipo Slpit. </v>
          </cell>
          <cell r="E167" t="str">
            <v>Pregão Eletrõnico n° 072/2022</v>
          </cell>
          <cell r="F167" t="str">
            <v>24.829.055/0001-77</v>
          </cell>
          <cell r="J167">
            <v>46137</v>
          </cell>
          <cell r="K167">
            <v>254</v>
          </cell>
        </row>
        <row r="168">
          <cell r="A168" t="str">
            <v>034/2021</v>
          </cell>
          <cell r="B168" t="str">
            <v>DG-LOCAÇÃO</v>
          </cell>
          <cell r="C168" t="str">
            <v>OEDSON ALVES BEZERRA (MIRADOR)</v>
          </cell>
          <cell r="D168" t="str">
            <v>Locação de imóvel para o  funcionamento  de  escritório no  Município  de  Mirador/MA</v>
          </cell>
          <cell r="E168" t="str">
            <v>Dispensa de Licitação</v>
          </cell>
          <cell r="F168" t="str">
            <v>146.370.063-68</v>
          </cell>
          <cell r="J168">
            <v>46147</v>
          </cell>
          <cell r="K168">
            <v>264</v>
          </cell>
        </row>
        <row r="169">
          <cell r="A169" t="str">
            <v>029/2023</v>
          </cell>
          <cell r="B169" t="str">
            <v>DG</v>
          </cell>
          <cell r="C169" t="str">
            <v>TRANSPORTES REQUINTE LTDA</v>
          </cell>
          <cell r="D169" t="str">
            <v>Serviços de transporte coletivo para a condução de funcionários da CAEMA lotados no sistema Sacavém</v>
          </cell>
          <cell r="E169" t="str">
            <v>PREGÃO ELETRÔNICO N° 001/2023</v>
          </cell>
          <cell r="F169" t="str">
            <v>06.077.708/0001-27</v>
          </cell>
          <cell r="J169">
            <v>46153</v>
          </cell>
          <cell r="K169">
            <v>270</v>
          </cell>
        </row>
        <row r="170">
          <cell r="A170" t="str">
            <v>009/2025</v>
          </cell>
          <cell r="B170" t="str">
            <v>DE</v>
          </cell>
          <cell r="C170" t="str">
            <v>SÓ POÇOS CONSTRUÇÕES EIRELI</v>
          </cell>
          <cell r="D170" t="str">
            <v>Perfuração de 04 (quatro) poços tubulares profundos, no Município de Imperatriz/MA.</v>
          </cell>
          <cell r="E170" t="str">
            <v>PREGÃO ELETRÔNICO 
Nº 024/2023</v>
          </cell>
          <cell r="F170" t="str">
            <v>06.922.664.0001-94</v>
          </cell>
          <cell r="J170">
            <v>46154</v>
          </cell>
          <cell r="K170">
            <v>271</v>
          </cell>
        </row>
        <row r="171">
          <cell r="A171" t="str">
            <v>041/2025</v>
          </cell>
          <cell r="B171" t="str">
            <v>DC</v>
          </cell>
          <cell r="C171" t="str">
            <v>FIMM BRASIL LTDA</v>
          </cell>
          <cell r="D171" t="str">
            <v xml:space="preserve">Contratação de uma empresa especializada na prestação contínua de serviços de instalação e manutenção de ramais de águas e ramais de esgoto, instalação e substituição de hidrômetros, corte, religação, supressão, restabelecimento, remanejamento de hidrômetros e ramais prediais de águas e conserto de vazamentos, localizados no Sistemas de Abastecimento de Água da região metropolitana de Sâo Luís/MA.     </v>
          </cell>
          <cell r="E171" t="str">
            <v>Licitação Eletrônica n.º 004/2025-PRL/CAEMA</v>
          </cell>
          <cell r="F171" t="str">
            <v>01.298.675/0001-21</v>
          </cell>
          <cell r="J171">
            <v>46156</v>
          </cell>
          <cell r="K171">
            <v>273</v>
          </cell>
        </row>
        <row r="172">
          <cell r="A172" t="str">
            <v>032/2023</v>
          </cell>
          <cell r="B172" t="str">
            <v>DG-LOCAÇÃO</v>
          </cell>
          <cell r="C172" t="str">
            <v>CARLOS AUGUSTO SANTOS GONÇALVES (MORROS)</v>
          </cell>
          <cell r="D172" t="str">
            <v xml:space="preserve">Locação o imóvel situado no Município de MORROS /MA, para funcionamento do Escritório Local. </v>
          </cell>
          <cell r="E172" t="str">
            <v>DISPENSA DE LICITAÇÃO N° 011/2023- CAEMA</v>
          </cell>
          <cell r="F172" t="str">
            <v>255.033.403-53</v>
          </cell>
          <cell r="J172">
            <v>46159</v>
          </cell>
          <cell r="K172">
            <v>276</v>
          </cell>
        </row>
        <row r="173">
          <cell r="A173" t="str">
            <v>027/2023</v>
          </cell>
          <cell r="B173" t="str">
            <v>DO</v>
          </cell>
          <cell r="C173" t="str">
            <v>MARQUES CONSTRUÇÕES E COMÉRCIO LTDA</v>
          </cell>
          <cell r="D173" t="str">
            <v>Contratação de empresa especializada para contratação de serviços de manutenção preventiva e corretiva em anéis de distribuição, adutoras e subadutoras de água, incluindo as conexões, válvulas e aparelhos de ferro fundido, aço carbono e PVC DeFoFo</v>
          </cell>
          <cell r="E173" t="str">
            <v>Pregão Eletrônico nº 007/2023</v>
          </cell>
          <cell r="F173" t="str">
            <v>20.451.788/0001-60</v>
          </cell>
          <cell r="J173">
            <v>46160</v>
          </cell>
          <cell r="K173">
            <v>277</v>
          </cell>
        </row>
        <row r="174">
          <cell r="A174" t="str">
            <v>095/2022</v>
          </cell>
          <cell r="B174" t="str">
            <v>DE</v>
          </cell>
          <cell r="C174" t="str">
            <v>MOBICON CONSTRUTORA LTDA</v>
          </cell>
          <cell r="D174" t="str">
            <v xml:space="preserve">Execução de Obras e Serviços de Conclusão de Implantação e Ampliação do Sistema de Esgotamento Sanitário de Sao Luis-Etapa 1- Sistemas: Anil, Bacanga (Margem Direita), São Francisco E Vinhais (PAC 2), </v>
          </cell>
          <cell r="E174" t="str">
            <v>LICITAÇÃO PUBLICA 01/22 - LP0012022</v>
          </cell>
          <cell r="F174" t="str">
            <v>2.260.240/0001-04</v>
          </cell>
          <cell r="J174">
            <v>46160</v>
          </cell>
          <cell r="K174">
            <v>277</v>
          </cell>
        </row>
        <row r="175">
          <cell r="A175" t="str">
            <v>002/2018</v>
          </cell>
          <cell r="B175" t="str">
            <v>DE</v>
          </cell>
          <cell r="C175" t="str">
            <v>SECRETARIA DE ESTADO DA AGRICULTURA FAMILIAR- SAF</v>
          </cell>
          <cell r="E175"/>
          <cell r="J175">
            <v>46164</v>
          </cell>
          <cell r="K175">
            <v>281</v>
          </cell>
        </row>
        <row r="176">
          <cell r="A176" t="str">
            <v>027/2022</v>
          </cell>
          <cell r="B176" t="str">
            <v>DG</v>
          </cell>
          <cell r="C176" t="str">
            <v>PROMAXIMA GESTÃO EMPRESARIAL LTDA</v>
          </cell>
          <cell r="D176" t="str">
            <v>Contratação de empresa especializada para a prestação de serviço de assinatura online da ferramenta Fonte de Preço, que se constitui em banco de dados desenvolvidfo para auxiliar todas as fases da contratação pública, ou seja, da fase interna (pesquisa de preço, especificação de bem/serviço...) até a fase externa (julgamento das propostas)</v>
          </cell>
          <cell r="E176" t="str">
            <v>Inexigibilidade de Licitação</v>
          </cell>
          <cell r="F176" t="str">
            <v>16.538.909/0001-38</v>
          </cell>
          <cell r="J176">
            <v>46173</v>
          </cell>
          <cell r="K176">
            <v>290</v>
          </cell>
        </row>
        <row r="177">
          <cell r="A177" t="str">
            <v>017/2024</v>
          </cell>
          <cell r="B177" t="str">
            <v>DG-LOCAÇÃO</v>
          </cell>
          <cell r="C177" t="str">
            <v>Sra MARIA ROSEMAR PEREIRA DA COSTA (LOCATÁRIA)</v>
          </cell>
          <cell r="D177" t="str">
            <v>Locação de imóvel situado na travessa José Reis, município de Colinas/ Ma, para funcionamento do Escritório Local.</v>
          </cell>
          <cell r="E177" t="str">
            <v>DISPENSA DE LICITAÇÃO  N° 009/2024</v>
          </cell>
          <cell r="F177" t="str">
            <v>027.***.***-19</v>
          </cell>
          <cell r="J177">
            <v>46177</v>
          </cell>
          <cell r="K177">
            <v>294</v>
          </cell>
        </row>
        <row r="178">
          <cell r="A178" t="str">
            <v>021/2024</v>
          </cell>
          <cell r="B178" t="str">
            <v>DG</v>
          </cell>
          <cell r="C178" t="str">
            <v>WIKI TELECOMUNICAÇÕES LTDA</v>
          </cell>
          <cell r="D178" t="str">
            <v>Contratação de empresa para a prestação de serviço de, fornecimento de conectividade IP – Internet Protocolo, por meio de link dedicado.</v>
          </cell>
          <cell r="E178" t="str">
            <v>DISPENSA DE LICITAÇÃO N° 005/2024</v>
          </cell>
          <cell r="F178" t="str">
            <v>11.509.434/0001-38</v>
          </cell>
          <cell r="J178">
            <v>46179</v>
          </cell>
          <cell r="K178">
            <v>296</v>
          </cell>
        </row>
        <row r="179">
          <cell r="A179" t="str">
            <v>016/2024</v>
          </cell>
          <cell r="B179" t="str">
            <v>DE</v>
          </cell>
          <cell r="C179" t="str">
            <v xml:space="preserve">682 SOLUÇÕES EM TECNOLOGIA DA INFORMAÇÃO LTDA </v>
          </cell>
          <cell r="D179" t="str">
            <v xml:space="preserve">Contratação de serviços de fornecimento de licença anual de plataforma de pesquisa de preços de itens (serviços, materiais e equipamentos) em bancos oficiais, de acordo com as especificações técnicas e quantitativos constantes no termo de referência.
</v>
          </cell>
          <cell r="E179" t="str">
            <v>DISPENSA DE LICITAÇÃO N° 008/2024</v>
          </cell>
          <cell r="F179" t="str">
            <v>23.674.714/0001-80</v>
          </cell>
          <cell r="J179">
            <v>46183</v>
          </cell>
          <cell r="K179">
            <v>300</v>
          </cell>
        </row>
        <row r="180">
          <cell r="A180" t="str">
            <v>034/2024</v>
          </cell>
          <cell r="B180" t="str">
            <v>DG-LOCAÇÃO</v>
          </cell>
          <cell r="C180" t="str">
            <v xml:space="preserve">LOCAÇÃO SÃO BENEDITO </v>
          </cell>
          <cell r="D180" t="str">
            <v>Locação de  imóvel situado na Rua Evaristo Sousa, Município de SÃO BENEDITO DO RIO PRETO/MA, para funcionamento do Escritório Local.</v>
          </cell>
          <cell r="E180" t="str">
            <v>DISPENSA DE LICITAÇÃO  
N° 018/2024</v>
          </cell>
          <cell r="F180" t="str">
            <v>242.544.953-15</v>
          </cell>
          <cell r="J180">
            <v>46256</v>
          </cell>
          <cell r="K180">
            <v>373</v>
          </cell>
        </row>
        <row r="181">
          <cell r="A181" t="str">
            <v>058/2024</v>
          </cell>
          <cell r="B181" t="str">
            <v>DG-LOCAÇÃO</v>
          </cell>
          <cell r="C181" t="str">
            <v xml:space="preserve">SR. ALAN COELHO PASSARINHO </v>
          </cell>
          <cell r="D181" t="str">
            <v>Locação de  imóvel situado na Rua Manoel Olívio Carvalho, nº 255, Centro, Município de São Raimundo das Mangabeiras/MA, para funcionamento do Escritório Local.</v>
          </cell>
          <cell r="E181" t="str">
            <v>DISPENSA DE LICITAÇÃO N° 026/2024</v>
          </cell>
          <cell r="F181" t="str">
            <v>739.028.883-34</v>
          </cell>
          <cell r="J181">
            <v>46309</v>
          </cell>
          <cell r="K181">
            <v>426</v>
          </cell>
        </row>
        <row r="182">
          <cell r="A182" t="str">
            <v>046/2024</v>
          </cell>
          <cell r="B182" t="str">
            <v>DC</v>
          </cell>
          <cell r="C182" t="str">
            <v xml:space="preserve">GHS BRASIL PRESTAÇÃO DE SERVIÇOS LTDA </v>
          </cell>
          <cell r="D182" t="str">
            <v>Prestação de serviços contínuos de leitura, impressão simultânea e entrega de contas, com a utilização de impressoras térmicas portáteis, coletores eletrônicos de dados, customização do sistema de impressão simultânea de contas e atualização cadastral de clientes da CAEMA, LOTE 03, UNIDADES DE PEDREIRAS, CHAPADINHA, PRESIDENTE DUTRA E COROÁTÁ/MA.</v>
          </cell>
          <cell r="E182" t="str">
            <v>DISPENSA DE LICITAÇÃO
N° 028/2024</v>
          </cell>
          <cell r="F182" t="str">
            <v>37.796.688/0001-78</v>
          </cell>
          <cell r="J182">
            <v>46392</v>
          </cell>
          <cell r="K182">
            <v>509</v>
          </cell>
        </row>
        <row r="183">
          <cell r="A183" t="str">
            <v>009/2023</v>
          </cell>
          <cell r="B183" t="str">
            <v>DG-LOCAÇÃO</v>
          </cell>
          <cell r="C183" t="str">
            <v>SONIA MARIA DE OLIVEIRA COIMBRA (JATOBA)</v>
          </cell>
          <cell r="D183" t="str">
            <v>Locação o imóvel para funcionamento do Escritório Local no Município de JATOBÁ/MA</v>
          </cell>
          <cell r="E183" t="str">
            <v>DISPENSA DE LICITAÇÃO  N° 06/2023</v>
          </cell>
          <cell r="F183" t="str">
            <v>249.511.453-91</v>
          </cell>
          <cell r="J183">
            <v>46476</v>
          </cell>
          <cell r="K183">
            <v>593</v>
          </cell>
        </row>
        <row r="184">
          <cell r="A184" t="str">
            <v>037/2023</v>
          </cell>
          <cell r="B184" t="str">
            <v>DG-LOCAÇÃO</v>
          </cell>
          <cell r="C184" t="str">
            <v>MARIA DA CONCEIÇÃO DA SILVA (BACABEIRA)</v>
          </cell>
          <cell r="D184" t="str">
            <v xml:space="preserve">Locação o imóvel situado no Município de Bacabeira/MA, para funcionamento do Escritório Local. </v>
          </cell>
          <cell r="E184" t="str">
            <v>DISPENSA DE LICITAÇÃO N° 010/2023- CAEMA</v>
          </cell>
          <cell r="F184" t="str">
            <v>903.569.183-00</v>
          </cell>
          <cell r="J184">
            <v>46524</v>
          </cell>
          <cell r="K184">
            <v>641</v>
          </cell>
        </row>
        <row r="185">
          <cell r="A185" t="str">
            <v>034/2023</v>
          </cell>
          <cell r="B185" t="str">
            <v>DG-LOCAÇÃO</v>
          </cell>
          <cell r="C185" t="str">
            <v>ANTONIA MARIA MACEDO LOPES FONSECA (FORTALEZA DOS NOGUEIRAS)</v>
          </cell>
          <cell r="D185" t="str">
            <v>Locação o imóvel no MUNICÍPIO DE FORTALEZA DOS NOGUEIRAS/MA, para funcionamento do Escritório Local</v>
          </cell>
          <cell r="E185" t="str">
            <v>DISPENSA DE LICITAÇÃO N° 015/2023</v>
          </cell>
          <cell r="F185" t="str">
            <v>650.080.493-72</v>
          </cell>
          <cell r="J185">
            <v>46538</v>
          </cell>
          <cell r="K185">
            <v>655</v>
          </cell>
        </row>
        <row r="186">
          <cell r="A186" t="str">
            <v>019/2025</v>
          </cell>
          <cell r="B186" t="str">
            <v>DO</v>
          </cell>
          <cell r="C186" t="str">
            <v>BAUMINAS QUIMICA N-NE LTDA</v>
          </cell>
          <cell r="D186" t="str">
            <v>Fornecimento com entrega de 14.160.000 Kg de sulfato de alumínio ferroso líquido para atender a uma etapa do processo de produção de água nas instalações da CAEMA – LOTE 01 (Bacabeira/Italuis)</v>
          </cell>
          <cell r="E186" t="str">
            <v>Licitação Eletrônica n.º 024/2024-PRL/CAEMA</v>
          </cell>
          <cell r="F186" t="str">
            <v>23.647.365/0008-84</v>
          </cell>
          <cell r="J186">
            <v>46851</v>
          </cell>
          <cell r="K186">
            <v>968</v>
          </cell>
        </row>
        <row r="187">
          <cell r="A187" t="str">
            <v>020/2025</v>
          </cell>
          <cell r="B187" t="str">
            <v>DO</v>
          </cell>
          <cell r="C187" t="str">
            <v>BAUMINAS QUIMICA N-NE LTDA</v>
          </cell>
          <cell r="D187" t="str">
            <v>Fornecimento com entrega de 2.725.020 Kg de sulfato de alumínio ferroso líquido para atender a uma etapa do processo de produção de água nas instalações da CAEMA – LOTE 02: Gerência de Serviços e Negócios de Chapadinha (Chapadinha - Centro, Chapadinha - Itamacaoca, Duque Bacelar, São Benedito Rio Preto, Buriti Inácia Vaz, Brejo, São Bernardo). Inclui também o fornecimento de tanques de armazenamento com bombas para o transporte do produto e conjuntos de bombas dosadoras em comodato, tanto em São Luís quanto no interior do Estado do Maranhão</v>
          </cell>
          <cell r="E187" t="str">
            <v>Licitação Eletrônica n.º 024/2024-PRL/CAEMA</v>
          </cell>
          <cell r="F187" t="str">
            <v>23.647.365/0008-84</v>
          </cell>
          <cell r="J187">
            <v>46851</v>
          </cell>
          <cell r="K187">
            <v>968</v>
          </cell>
        </row>
        <row r="188">
          <cell r="A188" t="str">
            <v>021/2025</v>
          </cell>
          <cell r="B188" t="str">
            <v>DO</v>
          </cell>
          <cell r="C188" t="str">
            <v>BAUMINAS QUIMICA N-NE LTDA</v>
          </cell>
          <cell r="D188" t="str">
            <v>Fornecimento com entrega de 1.662.516 Kg de sulfato de alumínio ferroso líquido para atender a uma etapa do processo de produção de água nas instalações da CAEMA – LOTE 03: Gerência de Serviços e Negócios de Barreirinhas (Barreirinhas, Araioses, Tutóia, Urbano Santos, Morros, Axixá). Inclui também o fornecimento de tanques de armazenamento com bombas para o transporte do produto e conjuntos de bombas dosadoras em comodato, tanto em São Luís quanto no interior do Estado do Maranhão.</v>
          </cell>
          <cell r="E188" t="str">
            <v>Licitação Eletrônica n.º 024/2024-PRL/CAEMA</v>
          </cell>
          <cell r="F188" t="str">
            <v>23.647.365/0008-84</v>
          </cell>
          <cell r="J188">
            <v>46851</v>
          </cell>
          <cell r="K188">
            <v>968</v>
          </cell>
        </row>
        <row r="189">
          <cell r="A189" t="str">
            <v>022/2025</v>
          </cell>
          <cell r="B189" t="str">
            <v>DO</v>
          </cell>
          <cell r="C189" t="str">
            <v>BAUMINAS QUIMICA N-NE LTDA</v>
          </cell>
          <cell r="D189" t="str">
            <v>Fornecimento com entrega de 2.628.144 Kg de sulfato de alumínio ferroso líquido para atender a uma etapa do processo de produção de água nas instalações da CAEMA – LOTE 04: Gerência de Serviços e Negócios de Itapecuru (Itapecuru, Cantanhede, Nina Rodrigues, Vargem Grande, Areias/Santa Rita, Pirapemas, Presidente Vargas). Inclui também o fornecimento de tanques de armazenamento com bombas para o transporte do produto e conjuntos de bombas dosadoras em comodato, tanto em São Luís quanto no interior do Estado do Maranhão.</v>
          </cell>
          <cell r="E189" t="str">
            <v>Licitação Eletrônica n.º 024/2024-PRL/CAEMA</v>
          </cell>
          <cell r="F189" t="str">
            <v>23.647.365/0008-84</v>
          </cell>
          <cell r="J189">
            <v>46851</v>
          </cell>
          <cell r="K189">
            <v>968</v>
          </cell>
        </row>
        <row r="190">
          <cell r="A190" t="str">
            <v>023/2025</v>
          </cell>
          <cell r="B190" t="str">
            <v>DO</v>
          </cell>
          <cell r="C190" t="str">
            <v>BAUMINAS QUIMICA N-NE LTDA</v>
          </cell>
          <cell r="D190" t="str">
            <v>Fornecimento com entrega de 1.008.612 Kg de sulfato de alumínio ferroso líquido para atender a uma etapa do processo de produção de água nas instalações da CAEMA – LOTE 05: Gerência de Serviços e Negócios de Presidente Dutra (Barra do Corda). Inclui também o fornecimento de tanques de armazenamento com bombas para o transporte do produto e conjuntos de bombas dosadoras em comodato, tanto em São Luís quanto no interior do Estado do Maranhão.</v>
          </cell>
          <cell r="E190" t="str">
            <v>Licitação Eletrônica n.º 024/2024-PRL/CAEMA</v>
          </cell>
          <cell r="F190" t="str">
            <v>23.647.365/0008-84</v>
          </cell>
          <cell r="J190">
            <v>46851</v>
          </cell>
          <cell r="K190">
            <v>968</v>
          </cell>
        </row>
        <row r="191">
          <cell r="A191" t="str">
            <v>024/2025</v>
          </cell>
          <cell r="B191" t="str">
            <v>DO</v>
          </cell>
          <cell r="C191" t="str">
            <v>BAUMINAS QUIMICA N-NE LTDA</v>
          </cell>
          <cell r="D191" t="str">
            <v>Fornecimento com entrega de 742.680 Kg de sulfato de alumínio ferroso líquido para atender a uma etapa do processo de produção de água nas instalações da CAEMA – LOTE 06: Gerência de Serviços e Negócios de Santa Inês (Cajari, Vitória do Mearim). Inclui também o fornecimento de tanques de armazenamento com bombas para o transporte do produto e conjuntos de bombas dosadoras em comodato, tanto em São Luís quanto no interior do Estado do Maranhão.</v>
          </cell>
          <cell r="E191" t="str">
            <v>Licitação Eletrônica n.º 024/2024-PRL/CAEMA</v>
          </cell>
          <cell r="F191" t="str">
            <v>23.647.365/0008-84</v>
          </cell>
          <cell r="G191" t="str">
            <v>Portaria 371/2025</v>
          </cell>
          <cell r="H191" t="str">
            <v>Antonio Juliano Lima Sousa</v>
          </cell>
          <cell r="I191" t="str">
            <v>Luso Cesar Lobo Negreiro</v>
          </cell>
          <cell r="J191">
            <v>46851</v>
          </cell>
          <cell r="K191">
            <v>968</v>
          </cell>
        </row>
        <row r="192">
          <cell r="A192" t="str">
            <v>025/2025</v>
          </cell>
          <cell r="B192" t="str">
            <v>DO</v>
          </cell>
          <cell r="C192" t="str">
            <v>BAUMINAS QUIMICA N-NE LTDA</v>
          </cell>
          <cell r="D192" t="str">
            <v>Fornecimento com entrega de 692.280 Kg de sulfato de alumínio ferroso líquido para atender a uma etapa do processo de produção de água nas instalações da CAEMA – LOTE 07: Gerência de Serviços e Negócios de Pinheiro (Pinheiro, Alcântara). Inclui também o fornecimento de tanques de armazenamento com bombas para o transporte do produto e conjuntos de bombas dosadoras em comodato, tanto em São Luís quanto no interior do Estado do Maranhão.</v>
          </cell>
          <cell r="E192" t="str">
            <v>Licitação Eletrônica n.º 024/2024-PRL/CAEMA</v>
          </cell>
          <cell r="F192" t="str">
            <v>23.647.365/0008-84</v>
          </cell>
          <cell r="J192">
            <v>46851</v>
          </cell>
          <cell r="K192">
            <v>968</v>
          </cell>
        </row>
        <row r="193">
          <cell r="A193" t="str">
            <v>026/2025</v>
          </cell>
          <cell r="B193" t="str">
            <v>DO</v>
          </cell>
          <cell r="C193" t="str">
            <v>BAUMINAS QUIMICA N-NE LTDA</v>
          </cell>
          <cell r="D193" t="str">
            <v>Fornecimento com entrega de 666.720 Kg de sulfato de alumínio ferroso líquido para atender a uma etapa do processo de produção de água nas instalações da CAEMA – LOTE 08: Gerência de Serviços e Negócios de Colinas (Colinas, Barão de Grajaú, São Raimundo das Mangabeiras, Sambaíba, Loreto, Riachão). Inclui também o fornecimento de tanques de armazenamento com bombas para o transporte do produto e conjuntos de bombas dosadoras em comodato, tanto em São Luís quanto no interior do Estado do Maranhão.</v>
          </cell>
          <cell r="E193" t="str">
            <v>Licitação Eletrônica n.º 024/2024-PRL/CAEMA</v>
          </cell>
          <cell r="F193" t="str">
            <v>23.647.365/0008-84</v>
          </cell>
          <cell r="J193">
            <v>46851</v>
          </cell>
          <cell r="K193">
            <v>968</v>
          </cell>
        </row>
        <row r="194">
          <cell r="A194" t="str">
            <v>027/2025</v>
          </cell>
          <cell r="B194" t="str">
            <v>DO</v>
          </cell>
          <cell r="C194" t="str">
            <v>BAUMINAS QUIMICA N-NE LTDA</v>
          </cell>
          <cell r="D194" t="str">
            <v>Fornecimento com entrega de 3.349.620 Kg de policloreto de alumínio para atender a uma etapa do processo de produção de água nas instalações da CAEMA – LOTE 09: Gerência de Serviços e Negócios de Pedreiras (Pedreiras, Trizidela do vale, Timbiras). Inclui também o fornecimento de tanques de armazenamento com bombas para o transporte do produto e conjuntos de bombas dosadoras em comodato, tanto em São Luís quanto no interior do Estado do Maranhão.</v>
          </cell>
          <cell r="E194" t="str">
            <v>Licitação Eletrônica n.º 024/2024-PRL/CAEMA</v>
          </cell>
          <cell r="F194" t="str">
            <v>23.647.365/0008-84</v>
          </cell>
          <cell r="J194">
            <v>46851</v>
          </cell>
          <cell r="K194">
            <v>968</v>
          </cell>
        </row>
        <row r="195">
          <cell r="A195" t="str">
            <v>028/2025</v>
          </cell>
          <cell r="B195" t="str">
            <v>DO</v>
          </cell>
          <cell r="C195" t="str">
            <v>BAUMINAS QUIMICA N-NE LTDA</v>
          </cell>
          <cell r="D195" t="str">
            <v>Fornecimento com entrega de 4.319.784 Kg de policloreto de alumínio para atender a uma etapa do processo de produção de água nas instalações da CAEMA – LOTE 10: Gerência de Serviços e Negócios de Imperatriz (Imperatriz). Inclui também o fornecimento de tanques de armazenamento com bombas para o transporte do produto e conjuntos de bombas dosadoras em comodato, tanto em São Luís quanto no interior do Estado do Maranhão.</v>
          </cell>
          <cell r="E195" t="str">
            <v>Licitação Eletrônica n.º 024/2024-PRL/CAEMA</v>
          </cell>
          <cell r="F195" t="str">
            <v>23.647.365/0008-84</v>
          </cell>
          <cell r="J195">
            <v>46851</v>
          </cell>
          <cell r="K195">
            <v>968</v>
          </cell>
        </row>
        <row r="196">
          <cell r="A196" t="str">
            <v>029/2025</v>
          </cell>
          <cell r="B196" t="str">
            <v>DO</v>
          </cell>
          <cell r="C196" t="str">
            <v>BAUMINAS QUIMICA N-NE LTDA</v>
          </cell>
          <cell r="D196" t="str">
            <v>Fornecimento com entrega de 1.239.840 Kg de policloreto de alumínio para atender a uma etapa do processo de produção de água nas instalações da CAEMA – LOTE 11: São Luís (Sacavém). Inclui também o fornecimento de tanques de armazenamento com bombas para o transporte do produto e conjuntos de bombas dosadoras em comodato, tanto em São Luís quanto no interior do Estado do Maranhão.</v>
          </cell>
          <cell r="E196" t="str">
            <v>Licitação Eletrônica n.º 024/2024-PRL/CAEMA</v>
          </cell>
          <cell r="F196" t="str">
            <v>23.647.365/0008-84</v>
          </cell>
          <cell r="J196">
            <v>46851</v>
          </cell>
          <cell r="K196">
            <v>968</v>
          </cell>
        </row>
        <row r="197">
          <cell r="A197" t="str">
            <v>015/2024</v>
          </cell>
          <cell r="B197" t="str">
            <v>DG</v>
          </cell>
          <cell r="C197" t="str">
            <v>GUSTAVO MARTINS ROCHA</v>
          </cell>
          <cell r="D197" t="str">
            <v>Execução dos serviços de leiloeiros oficial para alienação de bens móveis inservíveis de propriedade da  CAEMA</v>
          </cell>
          <cell r="E197" t="str">
            <v>CREDENCIAMENTO  N° 01/2022</v>
          </cell>
          <cell r="F197" t="str">
            <v>085.248.657-09</v>
          </cell>
          <cell r="J197">
            <v>46130</v>
          </cell>
          <cell r="K197">
            <v>247</v>
          </cell>
        </row>
        <row r="198">
          <cell r="A198" t="str">
            <v>045/2025</v>
          </cell>
          <cell r="B198" t="str">
            <v>DO</v>
          </cell>
          <cell r="C198" t="str">
            <v xml:space="preserve">SABARÁ QUIMICOS E INGREDIENTES </v>
          </cell>
          <cell r="D198" t="str">
            <v>prestação de serviços de dosagem de cloro gasoso liquefeito, com o fornecimento do produto em cilindros de 68 kg e 900 kg, conforme as necessidades da contratante.</v>
          </cell>
          <cell r="E198" t="str">
            <v>Licitação Eletrônica n.º 010/2025-PRL/CAEMA</v>
          </cell>
          <cell r="F198" t="str">
            <v>12.884.672/0001-96</v>
          </cell>
          <cell r="J198">
            <v>46184</v>
          </cell>
          <cell r="K198">
            <v>301</v>
          </cell>
        </row>
        <row r="199">
          <cell r="A199" t="str">
            <v>046/2025</v>
          </cell>
          <cell r="B199" t="str">
            <v>DG</v>
          </cell>
          <cell r="C199" t="str">
            <v>ALFAPEOPLE DO BRASIL CONSULTORIA DE INFORMÁTICA</v>
          </cell>
          <cell r="D199" t="str">
            <v>serviço comum consistente no fornecimento de 50 (cinquenta) licenças de uso de software na nuvem (Software as a Service - SaaS) de Business Intelligence (BI) por meio da suíte Microsoft Power BI na sua versão PRO e 01 (uma) licença do referido software na sua versão PREMIUM,</v>
          </cell>
          <cell r="E199" t="str">
            <v>Dispensa de Licitação</v>
          </cell>
          <cell r="F199" t="str">
            <v>07.099.365/0001-64</v>
          </cell>
          <cell r="J199">
            <v>46176</v>
          </cell>
          <cell r="K199">
            <v>293</v>
          </cell>
        </row>
        <row r="200">
          <cell r="A200" t="str">
            <v>051/2025</v>
          </cell>
          <cell r="B200" t="str">
            <v>DG</v>
          </cell>
          <cell r="C200" t="str">
            <v>CALIMAX EQUIPAMENTOS E SERVIÇOS LTDA</v>
          </cell>
          <cell r="D200" t="str">
            <v>O presente Contrato tem por objeto contratação de empresa especializada na prestação de serviços relacionados a extintores, incluindo recarga, testes hidrostáticos, reposição de peças, em conformidade com as normas técnicas vigentes (ABNT/INMETRO)</v>
          </cell>
          <cell r="E200" t="str">
            <v>Dispensa de Licitação</v>
          </cell>
          <cell r="F200" t="str">
            <v>01.841.416/0001-03</v>
          </cell>
          <cell r="G200" t="str">
            <v>Portaria 375/2025</v>
          </cell>
          <cell r="H200" t="str">
            <v>Fernando José Barreto Bittencourt</v>
          </cell>
          <cell r="I200" t="str">
            <v>Dione Sousa Margon Boaz</v>
          </cell>
          <cell r="J200">
            <v>46019</v>
          </cell>
          <cell r="K200">
            <v>136</v>
          </cell>
        </row>
        <row r="201">
          <cell r="A201" t="str">
            <v>052/2025</v>
          </cell>
          <cell r="B201" t="str">
            <v>DG</v>
          </cell>
          <cell r="C201" t="str">
            <v>S R F SANTOS LTDA</v>
          </cell>
          <cell r="D201" t="str">
            <v>o fornecimento com entrega de móveis, utensílios e equipamentos a serem utilizados em diversas áreas da CAEMA</v>
          </cell>
          <cell r="E201" t="str">
            <v>Licitação Eletrônica n.º 017/2024-PRL/CAEMA</v>
          </cell>
          <cell r="F201" t="str">
            <v>19.681.524/0001-13</v>
          </cell>
          <cell r="G201" t="str">
            <v>Portaria 376/2025</v>
          </cell>
          <cell r="H201" t="str">
            <v>Edjunior de Abreu Mendes</v>
          </cell>
          <cell r="I201" t="str">
            <v>Adonias Lima Coelho</v>
          </cell>
          <cell r="J201">
            <v>46019</v>
          </cell>
          <cell r="K201">
            <v>136</v>
          </cell>
        </row>
        <row r="202">
          <cell r="A202" t="str">
            <v>053/2025</v>
          </cell>
          <cell r="B202" t="str">
            <v>DG</v>
          </cell>
          <cell r="C202" t="str">
            <v>BANCO BRADESCO S/A</v>
          </cell>
          <cell r="D202" t="str">
            <v>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v>
          </cell>
          <cell r="E202" t="str">
            <v>Credencaimento</v>
          </cell>
          <cell r="F202" t="str">
            <v>60.746.948/0001-12</v>
          </cell>
          <cell r="G202" t="str">
            <v>Portaria 377/2025</v>
          </cell>
          <cell r="H202" t="str">
            <v>Rosenete Correa de Abreu</v>
          </cell>
          <cell r="I202" t="str">
            <v>Nery de Jesus Maranhão Cardoso</v>
          </cell>
          <cell r="J202">
            <v>46203</v>
          </cell>
          <cell r="K202">
            <v>320</v>
          </cell>
        </row>
        <row r="203">
          <cell r="A203" t="str">
            <v>058/2025</v>
          </cell>
          <cell r="B203" t="str">
            <v>DG</v>
          </cell>
          <cell r="C203" t="str">
            <v>INSTITUTO EUVALDO LODI NUCLEO REGIONAL - IEL</v>
          </cell>
          <cell r="D203" t="str">
            <v>contratação de empresa especializada em gerenciamento de Programas de Estágio, atendendo as definições, condições e especificações inseridas pela Lei nº 11.788/08, no Decreto nº 37.746/2022.</v>
          </cell>
          <cell r="E203" t="str">
            <v>Dispensa de Licitação</v>
          </cell>
          <cell r="F203" t="str">
            <v>06.303.549/0001-31</v>
          </cell>
          <cell r="G203" t="str">
            <v>Portaria 378/2025</v>
          </cell>
          <cell r="H203" t="str">
            <v>Danilo Soares Serra Gaioso</v>
          </cell>
          <cell r="I203" t="str">
            <v>Mariana Zelia Oliveira Silva</v>
          </cell>
          <cell r="J203">
            <v>46205</v>
          </cell>
          <cell r="K203">
            <v>322</v>
          </cell>
        </row>
        <row r="204">
          <cell r="A204" t="str">
            <v>049/2025</v>
          </cell>
          <cell r="B204" t="str">
            <v>DE</v>
          </cell>
          <cell r="C204" t="str">
            <v>PALMARES CONSTRUÇÕES LTDA</v>
          </cell>
          <cell r="D204" t="str">
            <v>perfuração de 01 (um) poço tubular, no Município de Coroatá/MA</v>
          </cell>
          <cell r="E204" t="str">
            <v>(Pregão Eletrônico n.º 024/2023-PRE/CAEMA</v>
          </cell>
          <cell r="F204" t="str">
            <v>11.302.593/0001-67</v>
          </cell>
          <cell r="G204" t="str">
            <v>Portaria 336/2025</v>
          </cell>
          <cell r="H204" t="str">
            <v>Sandro Sávio Soares Fonseca</v>
          </cell>
          <cell r="I204" t="str">
            <v>Daiane Volff Ferreira</v>
          </cell>
          <cell r="J204">
            <v>46097</v>
          </cell>
          <cell r="K204">
            <v>214</v>
          </cell>
          <cell r="Q204">
            <v>180</v>
          </cell>
        </row>
        <row r="205">
          <cell r="A205" t="str">
            <v>047/2025</v>
          </cell>
          <cell r="B205" t="str">
            <v>DG</v>
          </cell>
          <cell r="C205" t="str">
            <v>CLARO S.A</v>
          </cell>
          <cell r="D205" t="str">
            <v>Empresa prestadora de Serviço de Telefonia Móvel Pessoal (SMP), legalmente autorizada pela Agência Nacional de Telecomunicações – ANATEL</v>
          </cell>
          <cell r="E205" t="str">
            <v>Inexibilidade de licitação</v>
          </cell>
          <cell r="F205" t="str">
            <v>40.432.544/0245-93</v>
          </cell>
          <cell r="G205" t="str">
            <v>Portaria 346/2025</v>
          </cell>
          <cell r="H205" t="str">
            <v>Talyane Andrade de Matos</v>
          </cell>
          <cell r="I205" t="str">
            <v>Edjunior de Abreu Mendes</v>
          </cell>
          <cell r="J205">
            <v>46188</v>
          </cell>
          <cell r="K205">
            <v>305</v>
          </cell>
          <cell r="Q205">
            <v>45943</v>
          </cell>
        </row>
        <row r="206">
          <cell r="A206" t="str">
            <v>048/2025</v>
          </cell>
          <cell r="B206" t="str">
            <v>DG</v>
          </cell>
          <cell r="C206" t="str">
            <v>LOCAMIL SERVIÇOS LTDA</v>
          </cell>
          <cell r="D206" t="str">
            <v>Contratação de empresa especializada para locação de motocicletas e veiculos tipo hatch, pick-up média e pick-up compacta, sem motorista e sem combustível.</v>
          </cell>
          <cell r="E206" t="str">
            <v>Licitação Eletrônica n.º 029/2024-PRL/CAEMA</v>
          </cell>
          <cell r="F206" t="str">
            <v>02743288/0001-10</v>
          </cell>
          <cell r="J206">
            <v>46197</v>
          </cell>
          <cell r="K206">
            <v>314</v>
          </cell>
        </row>
        <row r="207">
          <cell r="A207" t="str">
            <v>050/2025</v>
          </cell>
          <cell r="B207" t="str">
            <v>DG</v>
          </cell>
          <cell r="C207" t="str">
            <v xml:space="preserve">FLORIANRIUS </v>
          </cell>
          <cell r="D207" t="str">
            <v>Fornecimento com entrega de móveis, utensílios e equipamentos a serem utilizados em diversas áreas da CAEMA</v>
          </cell>
          <cell r="E207" t="str">
            <v>Licitação Eletrônica n. º 017/2024-PRL/CAEMA – ARP Nº 010/2025</v>
          </cell>
          <cell r="F207" t="str">
            <v>2.426.141/0001-81</v>
          </cell>
          <cell r="G207" t="str">
            <v>Portaria 351/2025</v>
          </cell>
          <cell r="H207" t="str">
            <v>Talyane Andrade de Matos</v>
          </cell>
          <cell r="I207" t="str">
            <v>Edjunior de Abreu Mendes</v>
          </cell>
          <cell r="J207">
            <v>46379</v>
          </cell>
          <cell r="K207">
            <v>496</v>
          </cell>
        </row>
        <row r="208">
          <cell r="A208" t="str">
            <v>055/2025</v>
          </cell>
          <cell r="B208" t="str">
            <v>DG</v>
          </cell>
          <cell r="C208" t="str">
            <v>CAIXA ECONOMICA FEDERAL</v>
          </cell>
          <cell r="D208" t="str">
            <v>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 conforme Termo de Referência e demais normas estabelecidas no Regulamento do Credenciamento e Processo supra mencionado, que passa a integrar este instrumento, independentemente de transcrição.</v>
          </cell>
          <cell r="E208" t="str">
            <v>Credenciamento n.º 001/2025-PRL/CAEMA</v>
          </cell>
          <cell r="F208" t="str">
            <v>00.360.305/0001-04</v>
          </cell>
          <cell r="J208">
            <v>46213</v>
          </cell>
          <cell r="K208">
            <v>330</v>
          </cell>
        </row>
        <row r="209">
          <cell r="A209" t="str">
            <v>056/2025</v>
          </cell>
          <cell r="B209" t="str">
            <v>DG</v>
          </cell>
          <cell r="C209" t="str">
            <v>PREVEN CLIN LTDA</v>
          </cell>
          <cell r="D209" t="str">
            <v>Prestação de serviços contínuos em medicina do trabalho e saúde ocupacional, conforme especificações, quantitativos e condições do Termo de Referência, Anexo I deste Edital.</v>
          </cell>
          <cell r="E209" t="str">
            <v>Licitação Eletrônica n. º 005/2025-PRL/CAEMA</v>
          </cell>
          <cell r="F209" t="str">
            <v>43.453.808/0001-37</v>
          </cell>
          <cell r="G209" t="str">
            <v>Portaria 399/2025</v>
          </cell>
          <cell r="H209" t="str">
            <v>Fernando José Barreto Bittencourt</v>
          </cell>
          <cell r="I209" t="str">
            <v>Tânia de Jesus Cantanhede de Araújo</v>
          </cell>
          <cell r="J209">
            <v>46211</v>
          </cell>
          <cell r="K209">
            <v>328</v>
          </cell>
        </row>
        <row r="210">
          <cell r="A210" t="str">
            <v>059/2025</v>
          </cell>
          <cell r="B210" t="str">
            <v>DG</v>
          </cell>
          <cell r="C210" t="str">
            <v>MARANHÃO PARCERIAS MAPA</v>
          </cell>
          <cell r="D210" t="str">
            <v>O presente contrato tem por objeto a contratação de Empresa especializada para a prestação de serviços de mobilidade urbana, por meio de plataforma digital integrada, visando ao deslocamento institucional dos empregados da Companhia de Saneamento Ambiental do Maranhão – CAEMA, com gestão operacional, controle por aplicativo e monitoramento via sistema gerencial.</v>
          </cell>
          <cell r="E210" t="str">
            <v>DISPENSA DE LICITAÇÃO</v>
          </cell>
          <cell r="F210" t="str">
            <v>06.281.794/0001-95</v>
          </cell>
          <cell r="G210" t="str">
            <v>Portaria 404/2025</v>
          </cell>
          <cell r="H210" t="str">
            <v>Eurico Alves da Silva Filho</v>
          </cell>
          <cell r="I210" t="str">
            <v>Adonias Lima Coelho</v>
          </cell>
          <cell r="J210">
            <v>46210</v>
          </cell>
          <cell r="K210">
            <v>327</v>
          </cell>
        </row>
        <row r="211">
          <cell r="A211" t="str">
            <v>061/2025</v>
          </cell>
          <cell r="B211" t="str">
            <v>DE</v>
          </cell>
          <cell r="C211" t="str">
            <v>PALMARES CONSTRUÇÕES LTDA</v>
          </cell>
          <cell r="D211" t="str">
            <v>Perfuração de 01 (um) poço tubular, no Município de Olho D’Água das Cunhãs/MA</v>
          </cell>
          <cell r="E211" t="str">
            <v>Pregão Eletrônico n.º 024/2023-PRE/CAEMA – ARP 020/2023</v>
          </cell>
          <cell r="F211" t="str">
            <v>11.302.593/0001-67</v>
          </cell>
          <cell r="G211" t="str">
            <v>Portaria 435/2025</v>
          </cell>
          <cell r="H211" t="str">
            <v>Sandro Sávio Soares Fonseca</v>
          </cell>
          <cell r="I211" t="str">
            <v>Daiane Volff Ferreira</v>
          </cell>
          <cell r="J211">
            <v>46136</v>
          </cell>
          <cell r="K211">
            <v>253</v>
          </cell>
        </row>
        <row r="212">
          <cell r="A212" t="str">
            <v>062/2025</v>
          </cell>
          <cell r="B212" t="str">
            <v>DG</v>
          </cell>
          <cell r="C212" t="str">
            <v>ALFA ENGENHARIA DE INFORMÁTICA</v>
          </cell>
          <cell r="D212" t="str">
            <v>Aquisição de 32 baterias estacionárias de 70 amperes por 12 volts, que substituirão as que estão sendo usadas atualmente no nobreak SMS de 40 KVA de potência, responsável pela manutenção da geração elétrica do nosso Datacenter.</v>
          </cell>
          <cell r="E212" t="str">
            <v>DISPENSA DE LICITAÇÃO</v>
          </cell>
          <cell r="F212" t="str">
            <v>00.252.212/0001-66</v>
          </cell>
          <cell r="G212" t="str">
            <v>Portaria 434/2025</v>
          </cell>
          <cell r="H212" t="str">
            <v>Eliernandes Mendes Rodrigues</v>
          </cell>
          <cell r="I212" t="str">
            <v>Clauber José Muniz</v>
          </cell>
          <cell r="J212">
            <v>46043</v>
          </cell>
          <cell r="K212">
            <v>160</v>
          </cell>
        </row>
        <row r="213">
          <cell r="A213" t="str">
            <v>063/2025</v>
          </cell>
          <cell r="B213" t="str">
            <v>DG - LOCAÇÃO</v>
          </cell>
          <cell r="C213" t="str">
            <v>MARTA ANDRE COSTA (ICATU)</v>
          </cell>
          <cell r="D213" t="str">
            <v>Locação o imóvel situado na Rua Barão do Rio Branco, nº 175, centro, Município de ICATU/MA, para funcionamento do Escritório Local, pelo prazo de 24 (vinte e quatro) meses, com vigência a partir da data de assinatura do presente Instrumento.</v>
          </cell>
          <cell r="E213" t="str">
            <v>ADITIVO I</v>
          </cell>
          <cell r="F213" t="str">
            <v>009.563.853-97</v>
          </cell>
          <cell r="G213" t="str">
            <v>Portaria 441/2025</v>
          </cell>
          <cell r="H213" t="str">
            <v>Cleison Gomes de Sá</v>
          </cell>
          <cell r="I213" t="str">
            <v>Marcelo Costa Oliveira</v>
          </cell>
          <cell r="J213">
            <v>46585</v>
          </cell>
          <cell r="K213">
            <v>702</v>
          </cell>
        </row>
        <row r="214">
          <cell r="A214" t="str">
            <v>064/2025</v>
          </cell>
          <cell r="B214" t="str">
            <v>DE</v>
          </cell>
          <cell r="C214" t="str">
            <v>PALMARES CONSTRUÇÕES LTDA</v>
          </cell>
          <cell r="D214" t="str">
            <v>O objeto do presente Termo de Contrato é a perfuração de 01 (um) poço tubular profundo, no Município de Zé Doca/MA: 8” X 200M</v>
          </cell>
          <cell r="E214" t="str">
            <v>CONTRATAÇÃO DE SERVIÇO</v>
          </cell>
          <cell r="F214" t="str">
            <v>11.302.593/0001-67</v>
          </cell>
          <cell r="G214" t="str">
            <v>Portaria 431/2025</v>
          </cell>
          <cell r="H214" t="str">
            <v>Sandro Sávio Soares Fonseca</v>
          </cell>
          <cell r="I214" t="str">
            <v>Daiane Volff Ferreira</v>
          </cell>
          <cell r="J214">
            <v>46142</v>
          </cell>
          <cell r="K214">
            <v>259</v>
          </cell>
        </row>
        <row r="215">
          <cell r="A215" t="str">
            <v>065/2025</v>
          </cell>
          <cell r="B215" t="str">
            <v>DE</v>
          </cell>
          <cell r="C215" t="str">
            <v xml:space="preserve">BATALHA CONSTRUÇÃO LTDA </v>
          </cell>
          <cell r="D215" t="str">
            <v>Execução dos serviços específicos de engenharia e hidrogeologia, para perfuração de 01 (um) poço tubular profundo no bairro Bom Jesus, do Sistema de Abastecimento do Município de São Luís/MA.</v>
          </cell>
          <cell r="E215" t="str">
            <v>PREGÃO ELETRÔNICO Nº 024/2023 - PRE/CAEMA, ATA DE REGISTRO DE PREÇOS N.º 021/2023 – CAEMA</v>
          </cell>
          <cell r="F215" t="str">
            <v>07.908.484/0001-10</v>
          </cell>
          <cell r="G215" t="str">
            <v>Portaria 432/2025</v>
          </cell>
          <cell r="H215" t="str">
            <v>Sandro Sávio Soares Fonseca</v>
          </cell>
          <cell r="I215" t="str">
            <v>Daiane Volff Ferreira</v>
          </cell>
          <cell r="J215">
            <v>46046</v>
          </cell>
          <cell r="K215">
            <v>163</v>
          </cell>
        </row>
        <row r="216">
          <cell r="A216" t="str">
            <v>066/2025</v>
          </cell>
          <cell r="B216" t="str">
            <v>DE</v>
          </cell>
          <cell r="C216" t="str">
            <v>HIDREL ENGENHARIA LTDA</v>
          </cell>
          <cell r="D216" t="str">
            <v>Prestação de serviços comuns de engenharia e hidrogeologia em 03 (três) poços no município de Esperantinópolis e 03 (três) poços no município de Poção de Pedras.</v>
          </cell>
          <cell r="E216" t="str">
            <v>ARP n° 019/2023 – CAEMA - Pregão Eletrônico N.º 024/2023-PRE/CAEMA</v>
          </cell>
          <cell r="F216" t="str">
            <v>73.864.233/0001-06</v>
          </cell>
          <cell r="G216" t="str">
            <v>Portaria 433/2025</v>
          </cell>
          <cell r="H216" t="str">
            <v>Sandro Sávio Soares Fonseca</v>
          </cell>
          <cell r="I216" t="str">
            <v>Daiane Volff Ferreira</v>
          </cell>
          <cell r="J216">
            <v>46142</v>
          </cell>
          <cell r="K216">
            <v>259</v>
          </cell>
        </row>
        <row r="217">
          <cell r="A217" t="str">
            <v>067/2025</v>
          </cell>
          <cell r="B217" t="str">
            <v>DE</v>
          </cell>
          <cell r="C217" t="str">
            <v>SÓ POÇOS CONSTRUÇÕES EIRELI</v>
          </cell>
          <cell r="D217" t="str">
            <v>Execução dos serviços específicos de engenharia e hidrogeologia, para perfuração de 01 (um) poço tubular profundo no Sistema de Abastecimento do Município de Açailândia/MA, pertencente à Gerência de Imperatriz/MA (Lote 04)</v>
          </cell>
          <cell r="E217" t="str">
            <v>PREGÃO ELETRÔNICO Nº 024/2023 - PRE/CAEMA, ATA DE REGISTRO DE PREÇOS N.º 022/2023 – CAEMA</v>
          </cell>
          <cell r="F217" t="str">
            <v>06.922.664.0001-94</v>
          </cell>
          <cell r="J217">
            <v>46136</v>
          </cell>
          <cell r="K217">
            <v>253</v>
          </cell>
        </row>
        <row r="218">
          <cell r="A218" t="str">
            <v>068/2025</v>
          </cell>
          <cell r="B218" t="str">
            <v>DG</v>
          </cell>
          <cell r="C218" t="str">
            <v>TRANSPORTES REQUINTE LTDA</v>
          </cell>
          <cell r="D218" t="str">
            <v>Contratação de empresa especializada para locação de 02(dois) ônibus para transporte coletivo de passageiros para o Sistema Produtor Italuís, sendo um ônibus rodoviário com capacidade para 44 (quarenta e quatro) passageiros e um micro-ônibus rodoviário com capacidade para 24 (vinte e quatro) passageiros, a fim de atender a demanda de deslocamento dos colaboradores da CAEMA.</v>
          </cell>
          <cell r="E218" t="str">
            <v>DISPENSA DE LICITAÇÃO</v>
          </cell>
          <cell r="F218" t="str">
            <v>06.077.708/0001-27</v>
          </cell>
          <cell r="J218">
            <v>45957</v>
          </cell>
          <cell r="K218">
            <v>74</v>
          </cell>
        </row>
        <row r="219">
          <cell r="A219" t="str">
            <v>076/2024</v>
          </cell>
          <cell r="B219" t="str">
            <v>DO</v>
          </cell>
          <cell r="C219" t="str">
            <v>CENTRO DE BIOLOGIA EXPERIMENTAL OCEANUS</v>
          </cell>
          <cell r="D219" t="str">
            <v>Prestação de serviços de coleta, acondicionamento, transporte e ensaios físicos, químicos e microbiológicos dos afluentes e efluentes das estações de tratamento de esgotos de São Luís e Interior/MA</v>
          </cell>
          <cell r="E219" t="str">
            <v>Licitação Eletrônica n. º 013/2024-PRL/CAEMA</v>
          </cell>
          <cell r="F219" t="str">
            <v>28.383.198/0001-59</v>
          </cell>
          <cell r="G219" t="str">
            <v>Portaria 163/2025</v>
          </cell>
          <cell r="H219" t="str">
            <v>Karines Gomes Ericeira</v>
          </cell>
          <cell r="I219" t="str">
            <v>Jeanne Cruz Mendes Gonçalves/ James Vasconcelos da Silva/ Raimundo Marcio Sousa Simões/ Igor Pinto Souza</v>
          </cell>
          <cell r="J219">
            <v>46121</v>
          </cell>
          <cell r="K219">
            <v>238</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RAL"/>
      <sheetName val="DETALHADA"/>
    </sheetNames>
    <sheetDataSet>
      <sheetData sheetId="0" refreshError="1"/>
      <sheetData sheetId="1" refreshError="1">
        <row r="1">
          <cell r="A1" t="str">
            <v>CT</v>
          </cell>
          <cell r="B1" t="str">
            <v>VALOR</v>
          </cell>
          <cell r="C1" t="str">
            <v>DIRETORIA</v>
          </cell>
          <cell r="D1" t="str">
            <v>CONTRATADA</v>
          </cell>
          <cell r="E1" t="str">
            <v>OBJETO</v>
          </cell>
          <cell r="F1" t="str">
            <v>MODALIDADE</v>
          </cell>
          <cell r="G1" t="str">
            <v>CNPJ/CPF</v>
          </cell>
          <cell r="H1" t="str">
            <v>PORTARIA</v>
          </cell>
          <cell r="I1" t="str">
            <v>GESTOR</v>
          </cell>
          <cell r="J1" t="str">
            <v>FISCAL</v>
          </cell>
          <cell r="K1" t="str">
            <v>DATA VIGÊNCIA</v>
          </cell>
          <cell r="L1" t="str">
            <v>DIAS PARA VENCER</v>
          </cell>
          <cell r="M1" t="str">
            <v>09/06/2025</v>
          </cell>
        </row>
        <row r="2">
          <cell r="A2" t="str">
            <v>074/2024</v>
          </cell>
          <cell r="B2">
            <v>29400</v>
          </cell>
          <cell r="C2" t="str">
            <v>DC</v>
          </cell>
          <cell r="D2" t="str">
            <v xml:space="preserve">EDIFICARE EMPRESA JUNIOR </v>
          </cell>
          <cell r="E2" t="str">
            <v xml:space="preserve">Contratação de uma empresa especializada para realizar a obtenção de arquivos vetoriais de pontos, linhas e polígonos através do Sistema de Informação Geográfica (QGIS) é fundamental para o aprimoramento e modernização da gestão de quadras, lotes, rotas de leitura e georreferenciamento de clientes.
</v>
          </cell>
          <cell r="F2" t="str">
            <v>DISPENSA DE LICITAÇÃO
N° 033/2024</v>
          </cell>
          <cell r="G2" t="str">
            <v>26.000.397/0001-05</v>
          </cell>
          <cell r="H2" t="str">
            <v>Portaria 074/2024</v>
          </cell>
          <cell r="I2" t="str">
            <v>Ana Paula Frazão Campos Silva</v>
          </cell>
          <cell r="J2" t="str">
            <v>Gleison Andrade Campos</v>
          </cell>
          <cell r="K2">
            <v>46003</v>
          </cell>
          <cell r="L2">
            <v>23</v>
          </cell>
        </row>
        <row r="3">
          <cell r="A3" t="str">
            <v>010/2024</v>
          </cell>
          <cell r="B3">
            <v>1241882.77</v>
          </cell>
          <cell r="C3" t="str">
            <v>DE</v>
          </cell>
          <cell r="D3" t="str">
            <v>PALMARES CONSTRUÇÕES LTDA</v>
          </cell>
          <cell r="E3" t="str">
            <v xml:space="preserve">Execução dos serviços de perfuração de 01 (um) poço tubular profundo, no município de Chapadinha/MA: (LOTE 2) 8`` X 150 M. </v>
          </cell>
          <cell r="F3" t="str">
            <v>PREGÃO ELETRÔNICO 024/2023 ARP 020/2023 - CAEMA</v>
          </cell>
          <cell r="G3" t="str">
            <v>11302593000167</v>
          </cell>
          <cell r="K3">
            <v>46100</v>
          </cell>
          <cell r="L3">
            <v>120</v>
          </cell>
        </row>
        <row r="4">
          <cell r="A4" t="str">
            <v>023/2024</v>
          </cell>
          <cell r="B4">
            <v>202500</v>
          </cell>
          <cell r="C4" t="str">
            <v>DG</v>
          </cell>
          <cell r="D4" t="str">
            <v>ADALGISA CRAVO TEIXEIRA LAGIOIA TREINAMENTO</v>
          </cell>
          <cell r="E4" t="str">
            <v xml:space="preserve">Contratação de empresa especializada para a execução de consultoria continuada na área de contabilidade, gestão de sistemas e gestão patrimonial, </v>
          </cell>
          <cell r="F4" t="str">
            <v>INEXIGIBILIDADE DE LICITAÇÃO  N° 002/2024</v>
          </cell>
          <cell r="G4" t="str">
            <v>36.125.431/0001-21</v>
          </cell>
          <cell r="K4">
            <v>46200</v>
          </cell>
          <cell r="L4">
            <v>220</v>
          </cell>
        </row>
        <row r="5">
          <cell r="A5" t="str">
            <v>040/2022</v>
          </cell>
          <cell r="B5" t="str">
            <v>9.514.15</v>
          </cell>
          <cell r="C5" t="str">
            <v>DG-LOCAÇÃO</v>
          </cell>
          <cell r="D5" t="str">
            <v>FRANCISCO DE SOUSA (SANTA LUZIA DO PARUA)</v>
          </cell>
          <cell r="E5" t="str">
            <v>Locação do imóvel do Sr. Francisco Sousa no Município de Santa Luzia do Parauá</v>
          </cell>
          <cell r="F5" t="str">
            <v>DISPENSA DE LICITAÇÃO  N° 1</v>
          </cell>
          <cell r="G5" t="str">
            <v>861.699.203-00</v>
          </cell>
          <cell r="K5">
            <v>46206</v>
          </cell>
          <cell r="L5">
            <v>226</v>
          </cell>
        </row>
        <row r="6">
          <cell r="A6" t="str">
            <v>047/2021</v>
          </cell>
          <cell r="B6">
            <v>294791</v>
          </cell>
          <cell r="C6" t="str">
            <v>DG</v>
          </cell>
          <cell r="D6" t="str">
            <v>CSA CONSULTORIA E SISTEMAS ABERTOS LTDA</v>
          </cell>
          <cell r="E6" t="str">
            <v>Contratação de empresa especializada para a execução de serviços de atualização, manutenção e assistência técnica do Sistema Radar Empresarial módulos Contábil, Conciliação,Compras,Estoque,Financeiro,Adiantamento de Viagems,MT Patrimonial MT Fiscal Arquivos Magneticos  Radar IRPJ Radar Orçamento e Radar Integrador</v>
          </cell>
          <cell r="F6" t="str">
            <v>Inexigibilidade de Licitação</v>
          </cell>
          <cell r="G6" t="str">
            <v>41.490.848/0001-23</v>
          </cell>
          <cell r="K6">
            <v>46215</v>
          </cell>
          <cell r="L6">
            <v>235</v>
          </cell>
        </row>
        <row r="7">
          <cell r="A7" t="str">
            <v>026/2021</v>
          </cell>
          <cell r="B7">
            <v>2869803.14</v>
          </cell>
          <cell r="C7" t="str">
            <v>DO</v>
          </cell>
          <cell r="D7" t="str">
            <v>PONTO FORTE CONSTRUÇÕES LTDA</v>
          </cell>
          <cell r="E7" t="str">
            <v>Prestação de serviços comuns de engenharia de manutenção de redes e ramais prediais,pequenas ampliações de redes,instalação sibstituição de ramais nos Sistemas de Abastecimento de Água do interior - Gerência de Negócios de Itapecuru Mirim /MA- Lote 02</v>
          </cell>
          <cell r="F7" t="str">
            <v>Pregão Eletrônico nº 051/2020</v>
          </cell>
          <cell r="G7" t="str">
            <v>01.958.324/0001-08</v>
          </cell>
          <cell r="K7">
            <v>46217</v>
          </cell>
          <cell r="L7">
            <v>237</v>
          </cell>
        </row>
        <row r="8">
          <cell r="A8" t="str">
            <v>025/2021</v>
          </cell>
          <cell r="B8">
            <v>4044811.29</v>
          </cell>
          <cell r="C8" t="str">
            <v>DO</v>
          </cell>
          <cell r="D8" t="str">
            <v>PONTO FORTE CONSTRUÇÕES LTDA</v>
          </cell>
          <cell r="E8" t="str">
            <v>Prestação de serviços comuns de engenharia demanutenção de redes e ramais prediais,pequenas ampliações de redes,instalação sibstituição de ramais nos Sistemas de Abastecimento de Água do interior - Gerência de Negócios de Chapadinha /MA- Lote 02</v>
          </cell>
          <cell r="F8" t="str">
            <v>Pregão Eletrônico nº 051/2020</v>
          </cell>
          <cell r="G8" t="str">
            <v>01.958.324/0001-08</v>
          </cell>
          <cell r="K8">
            <v>46221</v>
          </cell>
          <cell r="L8">
            <v>241</v>
          </cell>
        </row>
        <row r="9">
          <cell r="A9" t="str">
            <v>027/2021</v>
          </cell>
          <cell r="B9">
            <v>2852189.95</v>
          </cell>
          <cell r="C9" t="str">
            <v>DO</v>
          </cell>
          <cell r="D9" t="str">
            <v>PONTO FORTE CONSTRUÇÕES LTDA</v>
          </cell>
          <cell r="E9" t="str">
            <v>Prestação de serviços comuns de engenharia demanutenção de redes e ramais prediais,pequenas ampliações de redes,instalação sibstituição de ramais nos Sistemas de Abastecimento de Água do interior - Gerência de Negócios de Coroatá /MA- Lote 02</v>
          </cell>
          <cell r="F9" t="str">
            <v>Pregão Eletrônico nº 051/2020</v>
          </cell>
          <cell r="G9" t="str">
            <v>01.958.324/0001-08</v>
          </cell>
          <cell r="H9" t="str">
            <v>Portaria 369/2025</v>
          </cell>
          <cell r="I9" t="str">
            <v>Denis Monteiro do Nascimento Junior</v>
          </cell>
          <cell r="J9" t="str">
            <v>Igor Pinto Souza</v>
          </cell>
          <cell r="K9">
            <v>46222</v>
          </cell>
          <cell r="L9">
            <v>242</v>
          </cell>
        </row>
        <row r="10">
          <cell r="A10" t="str">
            <v>033/2022</v>
          </cell>
          <cell r="B10">
            <v>1498135.68</v>
          </cell>
          <cell r="C10" t="str">
            <v>DO</v>
          </cell>
          <cell r="D10" t="str">
            <v>DESTACK SERVIÇOS AMBIENTAIS</v>
          </cell>
          <cell r="E10" t="str">
            <v xml:space="preserve">Prestação de serviços de locação de caminhão equipado com tanque, para transporte e fornecimento de água potável aos clientes da CAEMA em São Luís MA </v>
          </cell>
          <cell r="F10" t="str">
            <v>Pregão Eletrônico nº 0010/2022 PRE/CAEMA</v>
          </cell>
          <cell r="G10" t="str">
            <v>23.682.131/0001-00</v>
          </cell>
          <cell r="K10">
            <v>46221</v>
          </cell>
          <cell r="L10">
            <v>241</v>
          </cell>
        </row>
        <row r="11">
          <cell r="A11" t="str">
            <v>044/2022</v>
          </cell>
          <cell r="B11">
            <v>919376.16</v>
          </cell>
          <cell r="C11" t="str">
            <v>DO</v>
          </cell>
          <cell r="D11" t="str">
            <v>3D SERVIÇOS AMBIENTAIS LTDA.</v>
          </cell>
          <cell r="E11" t="str">
            <v>Prestação de serviços de lcoação de caminhão equipado com tanque, para o transporte e fornecimento de água potável aos clientes da Companhia de Saneamento Ambiental do Maranhão - CAEMA, Lote 01 Gerência de Negócios de Imperatriz</v>
          </cell>
          <cell r="F11" t="str">
            <v>PREGÃO ELETRÔNICO Nº 032/2022 - PRE/CAEMA</v>
          </cell>
          <cell r="G11" t="str">
            <v>63.444.715/0001-53</v>
          </cell>
          <cell r="K11">
            <v>46222</v>
          </cell>
          <cell r="L11">
            <v>242</v>
          </cell>
        </row>
        <row r="12">
          <cell r="A12" t="str">
            <v>045/2022</v>
          </cell>
          <cell r="B12">
            <v>2214437.7999999998</v>
          </cell>
          <cell r="C12" t="str">
            <v>DO</v>
          </cell>
          <cell r="D12" t="str">
            <v>3D SERVIÇOS AMBIENTAIS LTDA.</v>
          </cell>
          <cell r="E12" t="str">
            <v>Prestação de serviços de lcoação de caminhão equipado com tanque, para o transporte e fornecimento de água potável aos clientes da Companhia de Saneamento Ambiental do Maranhão - CAEMA, Lote 02 Gerência de Negócios de PEDREIRAS, SÃO JOÃO DOS PATOS, PRESIDENTE DUTRA</v>
          </cell>
          <cell r="F12" t="str">
            <v>PREGÃO ELETRÔNICO Nº 032/2022 - PRE/CAEMA</v>
          </cell>
          <cell r="G12" t="str">
            <v>23.682.131/0001-00</v>
          </cell>
          <cell r="K12">
            <v>46223</v>
          </cell>
          <cell r="L12">
            <v>243</v>
          </cell>
        </row>
        <row r="13">
          <cell r="A13" t="str">
            <v>025/2024</v>
          </cell>
          <cell r="B13">
            <v>26401.439999999999</v>
          </cell>
          <cell r="C13" t="str">
            <v>DG-LOCAÇÃO</v>
          </cell>
          <cell r="D13" t="str">
            <v xml:space="preserve">Sra VANDA MARIA CONCEIÇÃO DE ARAUJO (locatária) </v>
          </cell>
          <cell r="E13" t="str">
            <v>Locação de imóvel situado na rua Dom Mota, nº 192  Centro, município de Buriticupu/ Ma, para funcionamento do Escritório Local.</v>
          </cell>
          <cell r="F13" t="str">
            <v>DISPENSA DE LICITAÇÃO N° 011/2024</v>
          </cell>
          <cell r="G13" t="str">
            <v>922.925.423-15</v>
          </cell>
          <cell r="K13">
            <v>46590</v>
          </cell>
          <cell r="L13">
            <v>610</v>
          </cell>
        </row>
        <row r="14">
          <cell r="A14" t="str">
            <v>028/2021</v>
          </cell>
          <cell r="B14">
            <v>2612243.9700000002</v>
          </cell>
          <cell r="C14" t="str">
            <v>DO</v>
          </cell>
          <cell r="D14" t="str">
            <v>QUANTICA X CONSTRUÇÕES E COMÉRCIO LTDA</v>
          </cell>
          <cell r="E14" t="str">
            <v>Prestação de serviços comuns de engenharia demanutenção de redes e ramais prediais,pequenas ampliações de redes,instalação ubstituição de ramais nos Sistemas de Abastecimento de Água do interior - Gerência de Negócios de Pedreiras Lote 03</v>
          </cell>
          <cell r="F14" t="str">
            <v>Pregão Eletrônico nº 051/2020</v>
          </cell>
          <cell r="G14" t="str">
            <v>10.935.566/0001-69</v>
          </cell>
          <cell r="K14">
            <v>46229</v>
          </cell>
          <cell r="L14">
            <v>249</v>
          </cell>
        </row>
        <row r="15">
          <cell r="A15" t="str">
            <v>029/2021</v>
          </cell>
          <cell r="B15">
            <v>2521577.4500000002</v>
          </cell>
          <cell r="C15" t="str">
            <v>DO</v>
          </cell>
          <cell r="D15" t="str">
            <v>QUANTICA X CONSTRUÇÕES E COMÉRCIO LTDA</v>
          </cell>
          <cell r="E15" t="str">
            <v>Prestação de serviços comuns de engenharia demanutenção de redes e ramais prediais,pequenas ampliações de redes,instalação ubstituição de ramais nos Sistemas de Abastecimento de Água do interior - Gerência de Negócios de Presidente Dutra Lote 03</v>
          </cell>
          <cell r="F15" t="str">
            <v>Pregão Eletrônico nº 051/2020</v>
          </cell>
          <cell r="G15" t="str">
            <v>10.935.566/0001-69</v>
          </cell>
          <cell r="H15" t="str">
            <v>Portaria 428/2025</v>
          </cell>
          <cell r="I15" t="str">
            <v>José Fernando Castro Silva</v>
          </cell>
          <cell r="J15" t="str">
            <v>Carlos Alberto Rodrigues Nunes</v>
          </cell>
          <cell r="K15">
            <v>46229</v>
          </cell>
          <cell r="L15">
            <v>249</v>
          </cell>
        </row>
        <row r="16">
          <cell r="A16" t="str">
            <v>030/2021</v>
          </cell>
          <cell r="B16">
            <v>2206781.94</v>
          </cell>
          <cell r="C16" t="str">
            <v>DO</v>
          </cell>
          <cell r="D16" t="str">
            <v>QUANTICA X CONSTRUÇÕES E COMÉRCIO LTDA</v>
          </cell>
          <cell r="E16" t="str">
            <v>Prestação de serviços comuns de engenharia demanutenção de redes e ramais prediais,pequenas ampliações de redes,instalação ubstituição de ramais nos Sistemas de Abastecimento de Água do interior - Gerência de Negócios de São João dos Patos Lote 03</v>
          </cell>
          <cell r="F16" t="str">
            <v>Pregão Eletrônico nº 051/2020</v>
          </cell>
          <cell r="G16" t="str">
            <v>10.935.566/0001-69</v>
          </cell>
          <cell r="K16">
            <v>46229</v>
          </cell>
          <cell r="L16">
            <v>249</v>
          </cell>
        </row>
        <row r="17">
          <cell r="A17" t="str">
            <v>CV 003/2023</v>
          </cell>
          <cell r="B17">
            <v>49800</v>
          </cell>
          <cell r="C17" t="str">
            <v>DG</v>
          </cell>
          <cell r="D17" t="str">
            <v>ASSOCIAÇÃO DOS SERVIDORES DA CAEMA DE SÃO LUÍS/MA - ASSERCA</v>
          </cell>
          <cell r="E17" t="str">
            <v>Autorização de concessão de descontos em folha, referentes a contribuições sociais, convênios e quitação de despesas de associado titular da ASSERCA</v>
          </cell>
          <cell r="F17" t="str">
            <v>CONVÊNIO</v>
          </cell>
          <cell r="G17" t="str">
            <v>03.010.767/0001-90</v>
          </cell>
          <cell r="K17">
            <v>46228</v>
          </cell>
          <cell r="L17">
            <v>248</v>
          </cell>
        </row>
        <row r="18">
          <cell r="A18" t="str">
            <v>CV 006/2023</v>
          </cell>
          <cell r="C18" t="str">
            <v>DG</v>
          </cell>
          <cell r="D18" t="str">
            <v>ASSOCIAÇÃO DOS SERVIDORES DA CAEMA DE ITAPECURU MIRIM/MA - ASSERCA II</v>
          </cell>
          <cell r="E18" t="str">
            <v>Concessão de descontos em folha referentes a contribuições sociais, convênios e quitação de despesas de associado titular da ASSERCA</v>
          </cell>
          <cell r="F18" t="str">
            <v>CONVÊNIO</v>
          </cell>
          <cell r="G18" t="str">
            <v>23.673.478/0001-88</v>
          </cell>
          <cell r="K18">
            <v>46233</v>
          </cell>
          <cell r="L18">
            <v>253</v>
          </cell>
        </row>
        <row r="19">
          <cell r="A19" t="str">
            <v>053/2022</v>
          </cell>
          <cell r="B19">
            <v>3475424.21</v>
          </cell>
          <cell r="C19" t="str">
            <v>DO</v>
          </cell>
          <cell r="D19" t="str">
            <v>QUANTICA X CONSTRUÇÕES E COMÉRCIO LTDA</v>
          </cell>
          <cell r="E19" t="str">
            <v>Serviços de engenharia para manutenção de redes e ramais prediais, pequenas ampliações de redes, instalação e substituição de ramais nos sistemas de Abastecimento de Água do Interior - Gerência de Negócios de Pinheiro/MA, LOTE 01, os serviços serão prestados nas condições estabelecidas no Edital referido no preâmbulo e seus anexos que se encontram no processo e na proposta vencedora, independentemente de transcrição.</v>
          </cell>
          <cell r="F19" t="str">
            <v>Pregão Eletrônico nº 034/2022 PRE/CAEMA</v>
          </cell>
          <cell r="G19" t="str">
            <v>10.935.566/0001-69</v>
          </cell>
          <cell r="K19">
            <v>46238</v>
          </cell>
          <cell r="L19">
            <v>258</v>
          </cell>
        </row>
        <row r="20">
          <cell r="A20" t="str">
            <v>055/2022</v>
          </cell>
          <cell r="B20">
            <v>3226786.68</v>
          </cell>
          <cell r="C20" t="str">
            <v>DO</v>
          </cell>
          <cell r="D20" t="str">
            <v>QUANTICA X CONSTRUÇÕES E COMÉRCIO LTDA</v>
          </cell>
          <cell r="E20" t="str">
            <v>Serviços de engenharia de  manutenção de redes e ramais prediais, pequenas ampliações de redes, instalação e  substituição de ramais nos sistemas de Abastecimento de Água do Interior - Gerências  de Negócio de Santa Inês/MA, LOTE 01</v>
          </cell>
          <cell r="F20" t="str">
            <v>Pregão Eletrônico nº 034/2022 PRE/CAEMA</v>
          </cell>
          <cell r="G20" t="str">
            <v>10.935.566/0001-69</v>
          </cell>
          <cell r="K20">
            <v>46237</v>
          </cell>
          <cell r="L20">
            <v>257</v>
          </cell>
        </row>
        <row r="21">
          <cell r="A21" t="str">
            <v>073/2023</v>
          </cell>
          <cell r="B21">
            <v>5857934.79</v>
          </cell>
          <cell r="C21" t="str">
            <v>DO</v>
          </cell>
          <cell r="D21" t="str">
            <v>ORIONSISTEM EQUIPAMENTOS INDUSTRIAIS LTDA</v>
          </cell>
          <cell r="E21" t="str">
            <v>Contratação de empresa de engenharia especializada para operar, executar manutenções corretivas e preventivas com fornecimento de peças, sob autorização prévia da CAEMA, e limpeza geral das áreas internas e externas da Estação de Tratamento de Esgotos - ETE ANIL e de suas 07 (sete) Estações Elevatórias de Esgotos contribuintes, com mão de obra própria, localizadas no município de São Luis — MA</v>
          </cell>
          <cell r="F21" t="str">
            <v>PREGÃO ELETRÔNICO 013/2023</v>
          </cell>
          <cell r="G21" t="str">
            <v>04.539.534/0001-41</v>
          </cell>
          <cell r="K21">
            <v>45875</v>
          </cell>
          <cell r="L21" t="e">
            <v>#NUM!</v>
          </cell>
        </row>
        <row r="22">
          <cell r="A22" t="str">
            <v>074/2023</v>
          </cell>
          <cell r="B22">
            <v>5228.55</v>
          </cell>
          <cell r="C22" t="str">
            <v>DG-LOCAÇÃO</v>
          </cell>
          <cell r="D22" t="str">
            <v>ANTONIA LEOMAR VIERA MARTINS (S. JOSÉ DOS BASÍLIOS)</v>
          </cell>
          <cell r="E22" t="str">
            <v>Locação o imóvel situado na Rua Magalhães de Almeida, 358, Centro, Município de SÃO JOSÉ DOS BASÍLIOS/MA, para funcionamento do Escritório Local.</v>
          </cell>
          <cell r="F22" t="str">
            <v>DISPENSA DE LICITAÇÃO  N° 001/2018</v>
          </cell>
          <cell r="G22" t="str">
            <v>328.511.973-04</v>
          </cell>
          <cell r="K22">
            <v>45876</v>
          </cell>
          <cell r="L22" t="e">
            <v>#NUM!</v>
          </cell>
        </row>
        <row r="23">
          <cell r="A23" t="str">
            <v>071/2023</v>
          </cell>
          <cell r="B23">
            <v>51067.81</v>
          </cell>
          <cell r="C23" t="str">
            <v>DE</v>
          </cell>
          <cell r="D23" t="str">
            <v>CONCREMAT ENGENHARIA E TECNOLOGIA S/A</v>
          </cell>
          <cell r="E23" t="str">
            <v>Execução de Serviços de GERENCIAMENTO E APOIO A FISCALIZAÇÃO DAS OBRAS DE IMPLANTAÇÃO E AMPLIAÇÃO DO SISTEMA DE ESGOTAMENTO SANITÁRIO DA CIDADE DE SÃO LUÍS/MA — PAC 2</v>
          </cell>
          <cell r="F23" t="str">
            <v>LICITAÇÃO PUBLICA N° 001/2023</v>
          </cell>
          <cell r="G23" t="str">
            <v>33.146.648/0001-20</v>
          </cell>
          <cell r="K23">
            <v>45877</v>
          </cell>
          <cell r="L23" t="e">
            <v>#NUM!</v>
          </cell>
        </row>
        <row r="24">
          <cell r="A24" t="str">
            <v>077/2023</v>
          </cell>
          <cell r="B24">
            <v>52571.97</v>
          </cell>
          <cell r="C24" t="str">
            <v>DG</v>
          </cell>
          <cell r="D24" t="str">
            <v>LYRA TECNOLOGIA E GESTAO EM M2M LTDA</v>
          </cell>
          <cell r="E24" t="str">
            <v>Serviço de transmissao de dados de multioperadora de celular para telemetria e comunicação de dado com plantaforma de gestão integrado on-line.</v>
          </cell>
          <cell r="F24" t="str">
            <v>DIPENSA DE LICITAÇÃO N° 021/2023</v>
          </cell>
          <cell r="G24" t="str">
            <v>27.554.839/0001-28</v>
          </cell>
          <cell r="K24">
            <v>45878</v>
          </cell>
          <cell r="L24" t="e">
            <v>#NUM!</v>
          </cell>
        </row>
        <row r="25">
          <cell r="A25" t="str">
            <v>103/2023</v>
          </cell>
          <cell r="B25">
            <v>1257563.3700000001</v>
          </cell>
          <cell r="C25" t="str">
            <v>DE</v>
          </cell>
          <cell r="D25" t="str">
            <v>HIDREL ENGENHARIA LTDA</v>
          </cell>
          <cell r="E25" t="str">
            <v>Execução perfuração de 01 (um) poço tubular profundo no município de Presidente Dutra/MA: 8"X 350M com revestimento em aço carbono e filtros em aço inox reforçado.</v>
          </cell>
          <cell r="F25" t="str">
            <v>PREGÃO ELETRONICO 024/2023</v>
          </cell>
          <cell r="G25">
            <v>73864233000106</v>
          </cell>
          <cell r="K25">
            <v>45889</v>
          </cell>
          <cell r="L25" t="e">
            <v>#NUM!</v>
          </cell>
        </row>
        <row r="26">
          <cell r="A26" t="str">
            <v>029/2024</v>
          </cell>
          <cell r="B26">
            <v>14083.52</v>
          </cell>
          <cell r="C26" t="str">
            <v>DG-LOCAÇÃO</v>
          </cell>
          <cell r="D26" t="str">
            <v>LOCAÇÃO MARANHÃOZINHO</v>
          </cell>
          <cell r="E26" t="str">
            <v>Locação de imóvel situado na rua Boa Vista, MARANHÃOZINHO/MA, para funcionamento do Escritório Local.</v>
          </cell>
          <cell r="F26" t="str">
            <v>DISPENSA DE LICITAÇÃO 
N° 015/2024</v>
          </cell>
          <cell r="G26" t="str">
            <v>279.220.653-53</v>
          </cell>
          <cell r="K26">
            <v>45890</v>
          </cell>
          <cell r="L26" t="e">
            <v>#NUM!</v>
          </cell>
        </row>
        <row r="27">
          <cell r="A27" t="str">
            <v>037/2024</v>
          </cell>
          <cell r="B27">
            <v>3680996.17</v>
          </cell>
          <cell r="C27" t="str">
            <v>DG</v>
          </cell>
          <cell r="D27" t="str">
            <v xml:space="preserve">C&amp;S VIGILÂNCIA E SEGURANÇA PATRIMONIAL LTDA </v>
          </cell>
          <cell r="E27" t="str">
            <v>PRESTAÇÃO DE SEVIÇOS CONTINUADOS DE VIGIÂNCIA ARMADA E VIGILÂNCIA MOTORIZADA, SEGURANÇA FÍSICA E PATRIMONIAL, DIURNA E NOTURNA. SÃO LUIS-MA, ITALUÍS E BACABEIRA-MA.</v>
          </cell>
          <cell r="F27" t="str">
            <v>LICITAÇÃO ELETRÔNICA Nº 007/2024-PRL/CAEMA</v>
          </cell>
          <cell r="G27" t="str">
            <v>14151000/0002-88</v>
          </cell>
          <cell r="K27">
            <v>45891</v>
          </cell>
          <cell r="L27" t="e">
            <v>#NUM!</v>
          </cell>
        </row>
        <row r="28">
          <cell r="A28" t="str">
            <v>045/2024</v>
          </cell>
          <cell r="B28">
            <v>21198718.219999999</v>
          </cell>
          <cell r="C28" t="str">
            <v>DE</v>
          </cell>
          <cell r="D28" t="str">
            <v xml:space="preserve">MOBICON CONSTRUTORA LTDA </v>
          </cell>
          <cell r="E28" t="str">
            <v>Contratação de empresa de engenharia para execução do saldo remanescente das obras de implantação da 2ª etapa do sistema de esgotamento sanitário de Itapecuru-Mirim/MA, rede coletora, ligações prediais e estações elevatórias condicionantes.</v>
          </cell>
          <cell r="F28" t="str">
            <v>LICITAÇÃO ELETRÔNICA
N° 010/2024</v>
          </cell>
          <cell r="G28" t="str">
            <v>12.260.240/0001-04</v>
          </cell>
          <cell r="K28">
            <v>45891</v>
          </cell>
          <cell r="L28" t="e">
            <v>#NUM!</v>
          </cell>
        </row>
        <row r="29">
          <cell r="A29" t="str">
            <v>059/2022</v>
          </cell>
          <cell r="B29">
            <v>42339.98</v>
          </cell>
          <cell r="C29" t="str">
            <v>DG</v>
          </cell>
          <cell r="D29" t="str">
            <v>SENIOR SISTEMAS</v>
          </cell>
          <cell r="E29" t="str">
            <v>serviços de atualização legal, suporte técnico de solução integrada de tecnologia e gestão de recursos humanos</v>
          </cell>
          <cell r="F29" t="str">
            <v>Inexigibilidade de Licitação N° 003/2022</v>
          </cell>
          <cell r="G29" t="str">
            <v>80.680.093/0001-81</v>
          </cell>
          <cell r="K29">
            <v>45893</v>
          </cell>
          <cell r="L29" t="e">
            <v>#NUM!</v>
          </cell>
        </row>
        <row r="30">
          <cell r="A30" t="str">
            <v>CV 007/2023</v>
          </cell>
          <cell r="B30">
            <v>480000</v>
          </cell>
          <cell r="C30" t="str">
            <v>DG</v>
          </cell>
          <cell r="D30" t="str">
            <v>ASSOCIAÇÃO DOS SERVIDORES DA CAEMA DE IMPERATRIZ/MA - ASSERCA</v>
          </cell>
          <cell r="E30" t="str">
            <v>Concessão de descontos em folha referentes a contribuições sociais, convênios e quitação de despesas de associado titular da ASSERCA</v>
          </cell>
          <cell r="F30" t="str">
            <v>CONVÊNIO</v>
          </cell>
          <cell r="G30" t="str">
            <v>41.371.311/0001-44</v>
          </cell>
          <cell r="K30">
            <v>45893</v>
          </cell>
          <cell r="L30" t="e">
            <v>#NUM!</v>
          </cell>
        </row>
        <row r="31">
          <cell r="A31" t="str">
            <v>056/2021</v>
          </cell>
          <cell r="B31">
            <v>696000</v>
          </cell>
          <cell r="C31" t="str">
            <v>DG</v>
          </cell>
          <cell r="D31" t="str">
            <v>NOSSA FROTA</v>
          </cell>
          <cell r="E31" t="str">
            <v>Locação de Veículos automotores de grande e pequeno porte sem motorista e sem combustível para atender as demandasda CAEMA</v>
          </cell>
          <cell r="F31" t="str">
            <v>Pregão Eletrônico nº 036/2020 PRE/CAEMA</v>
          </cell>
          <cell r="G31" t="str">
            <v>29.118.884/0001-65</v>
          </cell>
          <cell r="K31">
            <v>45895</v>
          </cell>
          <cell r="L31" t="e">
            <v>#NUM!</v>
          </cell>
        </row>
        <row r="32">
          <cell r="A32" t="str">
            <v>076/2022</v>
          </cell>
          <cell r="C32" t="str">
            <v>DC</v>
          </cell>
          <cell r="D32" t="str">
            <v>CREDPAY SOLUÇÕES EM PAGAMENTOS LTDA</v>
          </cell>
          <cell r="E32" t="str">
            <v>Prestação de serviços na modalidade de licenciamento e fornecimento de gateway de pagamentos para prover aos clientes CAEMA o meio de pagamento on-line.</v>
          </cell>
          <cell r="F32" t="str">
            <v>Credenciamento n° 001/2019</v>
          </cell>
          <cell r="G32" t="str">
            <v>27.659.570/0001-44</v>
          </cell>
          <cell r="K32">
            <v>45896</v>
          </cell>
          <cell r="L32" t="e">
            <v>#NUM!</v>
          </cell>
        </row>
        <row r="33">
          <cell r="A33" t="str">
            <v>074/2022</v>
          </cell>
          <cell r="B33">
            <v>11039.79</v>
          </cell>
          <cell r="C33" t="str">
            <v>DG-LOCAÇÃO</v>
          </cell>
          <cell r="D33" t="str">
            <v>RAMILTON BANDEIRA BRAGA (ARAME)</v>
          </cell>
          <cell r="E33" t="str">
            <v xml:space="preserve">Locação de imóvel situado na Rua Ulisses Guimarães, n 730, Centro, MUNICÍPIO DE ARAME/MA, para funcionamento do Escritório Local </v>
          </cell>
          <cell r="F33" t="str">
            <v>Dispensa de licitação</v>
          </cell>
          <cell r="G33" t="str">
            <v>603.699.203-00</v>
          </cell>
          <cell r="K33">
            <v>45897</v>
          </cell>
          <cell r="L33" t="e">
            <v>#NUM!</v>
          </cell>
        </row>
        <row r="34">
          <cell r="A34" t="str">
            <v>083/2023</v>
          </cell>
          <cell r="B34">
            <v>10737838</v>
          </cell>
          <cell r="C34" t="str">
            <v>DC</v>
          </cell>
          <cell r="D34" t="str">
            <v>FAE SISTEMA DE MEDIÇÃO S/A</v>
          </cell>
          <cell r="E34" t="str">
            <v>Fornecimento de hidrômetros e caixas de proteção de parede e passeio, para instalação em ramais prediais localizados nos sistemas de abastecimento de água da capital e interior.</v>
          </cell>
          <cell r="F34" t="str">
            <v>DISPENSA DE LICITAÇÃO N° 023/2023</v>
          </cell>
          <cell r="G34" t="str">
            <v>07.281.413/0001-30</v>
          </cell>
          <cell r="K34">
            <v>45897</v>
          </cell>
          <cell r="L34" t="e">
            <v>#NUM!</v>
          </cell>
        </row>
        <row r="35">
          <cell r="A35" t="str">
            <v>007/2024</v>
          </cell>
          <cell r="B35">
            <v>26001075</v>
          </cell>
          <cell r="C35" t="str">
            <v>DE</v>
          </cell>
          <cell r="D35" t="str">
            <v>QUALITECH ENGENHARIA LTDA</v>
          </cell>
          <cell r="E35" t="str">
            <v>Execução de serviços de recuperação de reservatórios ETA´s e execução de serviços complementares, na região metropolitana e nas gerências de Pinheiro, Santa Inês, Itapecuru e Chapadinha MA</v>
          </cell>
          <cell r="F35" t="str">
            <v>PREGÃO ELETRÔNICO 018/2023 ARP 023/2023 - CAEMA</v>
          </cell>
          <cell r="G35" t="str">
            <v>69388361000153</v>
          </cell>
          <cell r="H35" t="str">
            <v>Portaria 205/2024</v>
          </cell>
          <cell r="I35" t="str">
            <v>Elio Ataídes Cavalcante</v>
          </cell>
          <cell r="J35" t="str">
            <v>Gabriel Feres Moreira Lima/George Carvalho Costa</v>
          </cell>
          <cell r="K35">
            <v>45901</v>
          </cell>
          <cell r="L35" t="e">
            <v>#NUM!</v>
          </cell>
        </row>
        <row r="36">
          <cell r="A36" t="str">
            <v>038/2024</v>
          </cell>
          <cell r="B36">
            <v>46380</v>
          </cell>
          <cell r="C36" t="str">
            <v>DG</v>
          </cell>
          <cell r="D36" t="str">
            <v xml:space="preserve">IPED EDUCAÇÃO CORPORATIVA LTDA </v>
          </cell>
          <cell r="E36" t="str">
            <v>Contratação de empresa especializada em serviços de capacitação, aprendizagem e treinamentos, mediante plataformas de cursos online, para os funcionários da Companhia de Saneamento Ambiental do Maranhão – CAEMA.</v>
          </cell>
          <cell r="F36" t="str">
            <v>INEXIGIBILIDADE DE LICITAÇÃO N°  007/2024</v>
          </cell>
          <cell r="G36" t="str">
            <v>32.283.883/0001-80</v>
          </cell>
          <cell r="H36" t="str">
            <v>Portaria 525/2024</v>
          </cell>
          <cell r="I36" t="str">
            <v>Danilo Soares Serra Gaioso</v>
          </cell>
          <cell r="J36" t="str">
            <v>Mayra Milany Sousa Lima</v>
          </cell>
          <cell r="K36">
            <v>45902</v>
          </cell>
          <cell r="L36" t="e">
            <v>#NUM!</v>
          </cell>
        </row>
        <row r="37">
          <cell r="A37" t="str">
            <v>010/2025</v>
          </cell>
          <cell r="B37">
            <v>1597400.39</v>
          </cell>
          <cell r="C37" t="str">
            <v>DE</v>
          </cell>
          <cell r="D37" t="str">
            <v>HIDREL ENGENHARIA LTDA</v>
          </cell>
          <cell r="E37" t="str">
            <v>Perfuração de 01 (UM) poço tubular profundo, no Município de Sucupira do Norte/MA</v>
          </cell>
          <cell r="F37" t="str">
            <v>Pregão Eletrônico n.º 024/2023-PRE/CAEMA – ARP 019/2023</v>
          </cell>
          <cell r="G37" t="str">
            <v>73864233000106</v>
          </cell>
          <cell r="K37">
            <v>45997</v>
          </cell>
          <cell r="L37">
            <v>17</v>
          </cell>
        </row>
        <row r="38">
          <cell r="A38" t="str">
            <v>039/2024</v>
          </cell>
          <cell r="B38">
            <v>20899765.920000002</v>
          </cell>
          <cell r="C38" t="str">
            <v>DG</v>
          </cell>
          <cell r="D38" t="str">
            <v xml:space="preserve">HUMANA ASSISTÊNCIA MÉDICA LTDA </v>
          </cell>
          <cell r="E38" t="str">
            <v>Contratação de operadora, administradora de benefícios ou seguradora de plano de assistência à saúde, com registro na Agência Nacional de Saúde Suplementar - ANS, para operar plano privado de assistência à saúde, destinado aos empregados e cargos comissionados da CAEMA.</v>
          </cell>
          <cell r="F38" t="str">
            <v>LICITAÇÃO ELETRÔNICA N.° 009/2024-PRL/CAEMA</v>
          </cell>
          <cell r="G38" t="str">
            <v>00.361.325/0001-08</v>
          </cell>
          <cell r="K38">
            <v>45909</v>
          </cell>
          <cell r="L38" t="e">
            <v>#NUM!</v>
          </cell>
        </row>
        <row r="39">
          <cell r="A39" t="str">
            <v>013/2025</v>
          </cell>
          <cell r="B39">
            <v>1233745.24</v>
          </cell>
          <cell r="C39" t="str">
            <v>DE</v>
          </cell>
          <cell r="D39" t="str">
            <v>SÓ POÇOS CONSTRUÇÕES EIRELI</v>
          </cell>
          <cell r="E39" t="str">
            <v>O objeto do presente Termo de Contrato é a perfuração de 01 (um) poço tubular, no Município de
Riachão/MA</v>
          </cell>
          <cell r="F39" t="str">
            <v>Pregão Eletrônico n.º 024/2023-
PRE/CAEMA – ARP 022/2023</v>
          </cell>
          <cell r="G39" t="str">
            <v>06.922.664.0001-94</v>
          </cell>
          <cell r="H39" t="str">
            <v>Portaria 150/2025</v>
          </cell>
          <cell r="I39" t="str">
            <v>Sandro Sávio Soares Fonseca</v>
          </cell>
          <cell r="J39" t="str">
            <v>Daiane Volff Ferreira</v>
          </cell>
          <cell r="K39">
            <v>45910</v>
          </cell>
          <cell r="L39" t="e">
            <v>#NUM!</v>
          </cell>
        </row>
        <row r="40">
          <cell r="A40" t="str">
            <v>040/2024</v>
          </cell>
          <cell r="B40">
            <v>25092</v>
          </cell>
          <cell r="C40" t="str">
            <v>DG</v>
          </cell>
          <cell r="D40" t="str">
            <v xml:space="preserve">MOVING CAPACITAÇÕES LTDA </v>
          </cell>
          <cell r="E40" t="str">
            <v xml:space="preserve">Prestação de serviço de capacitação de 46 empregados no curso de “ADITIVOS, REEQUILÍBRIO ECONÔMICO-FINANCEIRO, MEDIÇÕES E PAGAMENTO DE CONTRATOS DE OBRAS PÚBLICAS – MODALIDADE À DISTÂNCIA para desenvolvimento corporativo da Companhia de Saneamento Ambiental do Maranhão – CAEMA.
</v>
          </cell>
          <cell r="F40" t="str">
            <v>INEXIGIBILIDADE DE LICITAÇÃO 
N° 006/2024</v>
          </cell>
          <cell r="G40" t="str">
            <v>42.864.563/0001-78</v>
          </cell>
          <cell r="H40" t="str">
            <v>Portaria 530/2024</v>
          </cell>
          <cell r="I40" t="str">
            <v>Danilo Soares Serra Gaioso</v>
          </cell>
          <cell r="J40" t="str">
            <v>Mayra Milany Sousa Lima</v>
          </cell>
          <cell r="K40">
            <v>45912</v>
          </cell>
          <cell r="L40" t="e">
            <v>#NUM!</v>
          </cell>
        </row>
        <row r="41">
          <cell r="A41" t="str">
            <v>005/2023</v>
          </cell>
          <cell r="B41">
            <v>1412815.48</v>
          </cell>
          <cell r="C41" t="str">
            <v>DE</v>
          </cell>
          <cell r="D41" t="str">
            <v>MPA CONSTRUÇÕES E PARTICIPAÇÕES LTDA</v>
          </cell>
          <cell r="E41" t="str">
            <v xml:space="preserve"> Contratação de empresa especializada em execução de serviços comuns de engenharia para melhorias nos sistemas de implantação e ampliação de redes de abastecimento de água e miscelâneas em municípios operados pela CAEMA.</v>
          </cell>
          <cell r="F41" t="str">
            <v>PREGÃO ELETRONICO 036/2022</v>
          </cell>
          <cell r="G41" t="str">
            <v>08.369.786/0001-20</v>
          </cell>
          <cell r="H41" t="str">
            <v>Portaria 117/2023</v>
          </cell>
          <cell r="I41" t="str">
            <v>Elio Ataídes Cavalcante</v>
          </cell>
          <cell r="J41" t="str">
            <v>George Carvalho Costa</v>
          </cell>
          <cell r="K41">
            <v>45913</v>
          </cell>
          <cell r="L41" t="e">
            <v>#NUM!</v>
          </cell>
        </row>
        <row r="42">
          <cell r="A42" t="str">
            <v>052/2021</v>
          </cell>
          <cell r="B42">
            <v>1420661.88</v>
          </cell>
          <cell r="C42" t="str">
            <v>DG</v>
          </cell>
          <cell r="D42" t="str">
            <v>LINK CARD ADMINISTRADORA DE BENEFÍCIOS EIRELI</v>
          </cell>
          <cell r="E42" t="str">
            <v>Contratação de empresa especializada na prestação de serviçosde gerenciamento informatizado de manutenção da frota de veículos da CAEMA</v>
          </cell>
          <cell r="F42" t="str">
            <v>Ata de Registro de Preços nº 018/2020 Supli GEGCO/AGESPISA (carona)</v>
          </cell>
          <cell r="G42" t="str">
            <v>12.039.966/0001-11</v>
          </cell>
          <cell r="H42" t="str">
            <v>Portaria 283/2025</v>
          </cell>
          <cell r="I42" t="str">
            <v>Adonias Lima Coelho</v>
          </cell>
          <cell r="J42" t="str">
            <v>Jurandir Pereira da Silva</v>
          </cell>
          <cell r="K42">
            <v>45913</v>
          </cell>
          <cell r="L42" t="e">
            <v>#NUM!</v>
          </cell>
        </row>
        <row r="43">
          <cell r="A43" t="str">
            <v>053/2021</v>
          </cell>
          <cell r="B43">
            <v>668777.85</v>
          </cell>
          <cell r="C43" t="str">
            <v>DG</v>
          </cell>
          <cell r="D43" t="str">
            <v>LINK CARD ADMINISTRADORA DE BENEFÍCIOS LTDA</v>
          </cell>
          <cell r="E43" t="str">
            <v>Contratação de empresa especializada no gerenciamento eletrônico e controle de abastecimento,implantação eoperação de um sistema informatizado /integrado com utilizaçãode cartão magnético viaweb que perimta o funcionamento de combustíveis gasolina comum, diesel s10) através de redes de postos credenciados para atender a frota de veículos da CAEMA</v>
          </cell>
          <cell r="F43" t="str">
            <v>Ata de Registro de Preços nº 004/2021 Supli GEGCO/AGESPISA (carona)</v>
          </cell>
          <cell r="G43" t="str">
            <v>12.039.966/0001-11</v>
          </cell>
          <cell r="H43" t="str">
            <v>Portaria 284/2025</v>
          </cell>
          <cell r="I43" t="str">
            <v>Adonias Lima Coelho</v>
          </cell>
          <cell r="J43" t="str">
            <v>Jurandir Pereira da Silva</v>
          </cell>
          <cell r="K43">
            <v>45913</v>
          </cell>
          <cell r="L43" t="e">
            <v>#NUM!</v>
          </cell>
        </row>
        <row r="44">
          <cell r="A44" t="str">
            <v>013/2024</v>
          </cell>
          <cell r="B44">
            <v>262376.62</v>
          </cell>
          <cell r="C44" t="str">
            <v>DE</v>
          </cell>
          <cell r="D44" t="str">
            <v>MPA CONSTRUÇÕES E PARTICIPAÇÕES LTDA</v>
          </cell>
          <cell r="E44" t="str">
            <v>Contratação de empresa de engenharia especializada para prestação de serviços de Melhorias do Sistema e Abastecimento de Água, no Município de Morros/MA</v>
          </cell>
          <cell r="F44" t="str">
            <v>PREGÃO ELETRÔNICO 038/2023 - PRL/CAEMA</v>
          </cell>
          <cell r="G44" t="str">
            <v>08369786000120</v>
          </cell>
          <cell r="H44" t="str">
            <v>Portaria 209/2024</v>
          </cell>
          <cell r="I44" t="str">
            <v>Elio Ataídes Cavalcante</v>
          </cell>
          <cell r="J44" t="str">
            <v>George Carvalho Costa</v>
          </cell>
          <cell r="K44">
            <v>45917</v>
          </cell>
          <cell r="L44" t="e">
            <v>#NUM!</v>
          </cell>
        </row>
        <row r="45">
          <cell r="A45" t="str">
            <v>089/2023</v>
          </cell>
          <cell r="B45">
            <v>3087479.1</v>
          </cell>
          <cell r="C45" t="str">
            <v>DO</v>
          </cell>
          <cell r="D45" t="str">
            <v>SÓ POÇOS E CONSTRUÇÕES EIRELI (IMPERATRIZ)</v>
          </cell>
          <cell r="E45" t="str">
            <v xml:space="preserve">Execução de serviços específico de engenharia e hidrogeologia para manuntenção e reabilitação de poços tubulares profundos em IMPERATRIZ/MA  </v>
          </cell>
          <cell r="F45" t="str">
            <v>PREGÃO ELETRONICO N 037/2022 ARP N 058/2022</v>
          </cell>
          <cell r="G45">
            <v>6922664000194</v>
          </cell>
          <cell r="H45" t="str">
            <v>Portaria 059/2024</v>
          </cell>
          <cell r="I45" t="str">
            <v>José dos Santos Pinheiro Jr</v>
          </cell>
          <cell r="J45" t="str">
            <v>Eduardo Marinho dos Santos</v>
          </cell>
          <cell r="K45">
            <v>45919</v>
          </cell>
          <cell r="L45" t="e">
            <v>#NUM!</v>
          </cell>
        </row>
        <row r="46">
          <cell r="A46" t="str">
            <v>021/2023</v>
          </cell>
          <cell r="B46">
            <v>1527328.57</v>
          </cell>
          <cell r="C46" t="str">
            <v>DO</v>
          </cell>
          <cell r="D46" t="str">
            <v>PESE PERFURAÇÕES DE POÇOS E SERVIÇOS LTDA</v>
          </cell>
          <cell r="E46" t="str">
            <v xml:space="preserve">Serviços comuns de engenharia e hidrogeologia para manutenção e
reabilitação de poços tubulares profundos operados pela CAEMA.
</v>
          </cell>
          <cell r="F46" t="str">
            <v>PREGÃO ELETRONICO N°  090.2021</v>
          </cell>
          <cell r="G46" t="str">
            <v xml:space="preserve"> 02.279.005/0001-20</v>
          </cell>
          <cell r="K46">
            <v>45923</v>
          </cell>
          <cell r="L46" t="e">
            <v>#NUM!</v>
          </cell>
        </row>
        <row r="47">
          <cell r="A47" t="str">
            <v>044/2024</v>
          </cell>
          <cell r="B47">
            <v>48825</v>
          </cell>
          <cell r="C47" t="str">
            <v>DG</v>
          </cell>
          <cell r="D47" t="str">
            <v xml:space="preserve">EMPRESA D B MORAES SOUZA ME </v>
          </cell>
          <cell r="E47" t="str">
            <v>Contratação de empresa especializada na manutenção de redes de fibra óptica, incluindo cabos, distribuidores ópticos, fusões ópticas, conversores ópticos e outros componentes relacionados. O  serviço contemplará as seguintes destinações: na Companhia de Saneamento Ambiental do Maranhão - CAEMA do Sacavém, Italuís e SEDE.</v>
          </cell>
          <cell r="F47" t="str">
            <v>DISPENSA DE LICITAÇÃO N° 019/2024</v>
          </cell>
          <cell r="G47" t="str">
            <v>26.857.138/0001-03</v>
          </cell>
          <cell r="H47" t="str">
            <v>CLÁUSULA 11ª</v>
          </cell>
          <cell r="I47" t="str">
            <v>Eliernandes Mendes Rodrigues</v>
          </cell>
          <cell r="J47" t="str">
            <v>Reginaldo da Silva Costa</v>
          </cell>
          <cell r="K47">
            <v>45926</v>
          </cell>
          <cell r="L47" t="e">
            <v>#NUM!</v>
          </cell>
        </row>
        <row r="48">
          <cell r="A48" t="str">
            <v>018/2023</v>
          </cell>
          <cell r="B48">
            <v>1040487.03</v>
          </cell>
          <cell r="C48" t="str">
            <v>DE</v>
          </cell>
          <cell r="D48" t="str">
            <v>PESE PERFURAÇÕES DE POÇOS E SERVIÇOS LTDA</v>
          </cell>
          <cell r="E48" t="str">
            <v xml:space="preserve">Serviços comuns de engenharia e hidrogeologia para manutenção e reabilitação de poços tubulares profundos operados pela CAEMA. </v>
          </cell>
          <cell r="F48" t="str">
            <v>PREGÃO ELETRONICO N°  090.2021</v>
          </cell>
          <cell r="G48" t="str">
            <v xml:space="preserve"> 02.279.005/0001-20</v>
          </cell>
          <cell r="K48">
            <v>45929</v>
          </cell>
          <cell r="L48" t="e">
            <v>#NUM!</v>
          </cell>
        </row>
        <row r="49">
          <cell r="A49" t="str">
            <v>008/2024</v>
          </cell>
          <cell r="B49">
            <v>1176915.9099999999</v>
          </cell>
          <cell r="C49" t="str">
            <v>DE</v>
          </cell>
          <cell r="D49" t="str">
            <v>HIDREL ENGENHARIA LTDA</v>
          </cell>
          <cell r="E49" t="str">
            <v>Perfuração de 01 (um) poço tubular profundo, com revestimento de tubo de aço carbono no Município de Pedreiras/MA</v>
          </cell>
          <cell r="F49" t="str">
            <v>PREGÃO ELETRÔNICO 024/2023 ARP 019/2023 - CAEMA</v>
          </cell>
          <cell r="G49" t="str">
            <v>73864233000106</v>
          </cell>
          <cell r="H49" t="str">
            <v>Portaria 206/2024</v>
          </cell>
          <cell r="I49" t="str">
            <v>Elio Ataídes Cavalcante</v>
          </cell>
          <cell r="J49" t="str">
            <v>Daiane Volff Ferreira</v>
          </cell>
          <cell r="K49">
            <v>45932</v>
          </cell>
          <cell r="L49" t="e">
            <v>#NUM!</v>
          </cell>
        </row>
        <row r="50">
          <cell r="A50" t="str">
            <v>081/2022</v>
          </cell>
          <cell r="B50">
            <v>87750</v>
          </cell>
          <cell r="C50" t="str">
            <v>DG</v>
          </cell>
          <cell r="D50" t="str">
            <v>APIL SEGURANÇA ELETRÔNICA LTDA</v>
          </cell>
          <cell r="E50" t="str">
            <v>Serviços de rastreamento e monitoramento eletrônico de 130 veículos com transmissão de dados via GPRS/GSM e recepção GPS 24 horas em tempo real, compreendendo a instalação de módulos rastreadores em comodato e a disponibilização de software de gerenciamento com acesso via Web para gestão de frota da Companhia</v>
          </cell>
          <cell r="F50" t="str">
            <v xml:space="preserve">Pregão Eletrônico n.° 025/2022-PRE/CAEMA, Ata de Registro de Preço n° 045/2022 - CAEMA </v>
          </cell>
          <cell r="G50" t="str">
            <v>34.540.071/0001-07</v>
          </cell>
          <cell r="H50" t="str">
            <v>Portaria 289/2025</v>
          </cell>
          <cell r="I50" t="str">
            <v>Adonias Lima Coelho</v>
          </cell>
          <cell r="J50" t="str">
            <v>Jurandir Pereira da Silva</v>
          </cell>
          <cell r="K50">
            <v>45933</v>
          </cell>
          <cell r="L50" t="e">
            <v>#NUM!</v>
          </cell>
        </row>
        <row r="51">
          <cell r="A51" t="str">
            <v>005/2024</v>
          </cell>
          <cell r="B51">
            <v>2200000</v>
          </cell>
          <cell r="C51" t="str">
            <v>DE</v>
          </cell>
          <cell r="D51" t="str">
            <v>PESE - PERFURAÇÕES GE POÇOS E SERVIÇOS LTDA</v>
          </cell>
          <cell r="E51" t="str">
            <v>Serviços de engenharia e hidrogeologia para manutenção de poços tubulares profundos do Sistema  eAbastecimento de Àgua Paciência I e II</v>
          </cell>
          <cell r="F51" t="str">
            <v>PREGÃO ELETRÔNICO 022/2023</v>
          </cell>
          <cell r="G51" t="str">
            <v>02279005000120</v>
          </cell>
          <cell r="H51" t="str">
            <v>Portaria 204/2024</v>
          </cell>
          <cell r="I51" t="str">
            <v>Elio Ataídes Cavalcante</v>
          </cell>
          <cell r="J51" t="str">
            <v>Daiane Volff Ferreira</v>
          </cell>
          <cell r="K51">
            <v>45934</v>
          </cell>
          <cell r="L51" t="e">
            <v>#NUM!</v>
          </cell>
        </row>
        <row r="52">
          <cell r="A52" t="str">
            <v>012/2024</v>
          </cell>
          <cell r="B52">
            <v>581160.66</v>
          </cell>
          <cell r="C52" t="str">
            <v>DE</v>
          </cell>
          <cell r="D52" t="str">
            <v>PESE - PERFURAÇÕES GE POÇOS E SERVIÇOS LTDA SANTA LUZIA</v>
          </cell>
          <cell r="E52" t="str">
            <v xml:space="preserve">Execução dos serviços de perfuração de 01 (um) poço tubular profundo, no município de Santa Inds/MA: 8`` X 150 M. </v>
          </cell>
          <cell r="F52" t="str">
            <v>PREGÃO ELETRÔNICO 053/2022 ARP 002/2023 - CAEMA</v>
          </cell>
          <cell r="G52" t="str">
            <v xml:space="preserve">02279005000120 </v>
          </cell>
          <cell r="H52" t="str">
            <v>Portaria 208/2024</v>
          </cell>
          <cell r="I52" t="str">
            <v>Elio Ataídes Cavalcante</v>
          </cell>
          <cell r="J52" t="str">
            <v>Daiane Volff Ferreira</v>
          </cell>
          <cell r="K52">
            <v>45935</v>
          </cell>
          <cell r="L52" t="e">
            <v>#NUM!</v>
          </cell>
        </row>
        <row r="53">
          <cell r="A53" t="str">
            <v>061/2021</v>
          </cell>
          <cell r="B53">
            <v>10959917.699999999</v>
          </cell>
          <cell r="C53" t="str">
            <v>DO</v>
          </cell>
          <cell r="D53" t="str">
            <v>PONTO FORTE CONSTRUÇÕES LTDA</v>
          </cell>
          <cell r="E53" t="str">
            <v>Contratação de empresa para prestação de serviços comuns de engenharia de manutenção de redes  coletoras de esgotos da CAEMA da cidade de São Luís MA- Lote 01</v>
          </cell>
          <cell r="F53" t="str">
            <v>Pregão Eletrõnico nº 008/2021.</v>
          </cell>
          <cell r="G53" t="str">
            <v>01.958.324/0001-08</v>
          </cell>
          <cell r="H53" t="str">
            <v>portaria 437/2024</v>
          </cell>
          <cell r="I53" t="str">
            <v>Alain Gerard Lobato de Moura</v>
          </cell>
          <cell r="J53" t="str">
            <v>Luis Mauro Lima da Silva</v>
          </cell>
          <cell r="K53">
            <v>45936</v>
          </cell>
          <cell r="L53" t="e">
            <v>#NUM!</v>
          </cell>
        </row>
        <row r="54">
          <cell r="A54" t="str">
            <v>049/2024</v>
          </cell>
          <cell r="B54">
            <v>6449046.5700000003</v>
          </cell>
          <cell r="C54" t="str">
            <v>DO</v>
          </cell>
          <cell r="D54" t="str">
            <v xml:space="preserve">PONTO FORTE CONSTRUÇÕES E EMPREENDIMENTOS </v>
          </cell>
          <cell r="E54" t="str">
            <v>Prestação dos serviços de manutenção de redes coletoras de esgoto do interior da Companhia de Saneamento Ambiental do Maranhão – CAEMA. LOTE 01 - Barreirinhas – Sistema Público e Tutóia –Sistema Isolado</v>
          </cell>
          <cell r="F54" t="str">
            <v xml:space="preserve">LICITAÇÃO ELETRÔNICA Nº 014/2024 </v>
          </cell>
          <cell r="G54" t="str">
            <v>01.958.324/0001-08</v>
          </cell>
          <cell r="H54" t="str">
            <v>Portaria 328/2025</v>
          </cell>
          <cell r="I54" t="str">
            <v>Cleison Gomes de Sá</v>
          </cell>
          <cell r="J54" t="str">
            <v>Antonio Caldas Santos</v>
          </cell>
          <cell r="K54">
            <v>45937</v>
          </cell>
          <cell r="L54" t="e">
            <v>#NUM!</v>
          </cell>
        </row>
        <row r="55">
          <cell r="A55" t="str">
            <v>050/2024</v>
          </cell>
          <cell r="B55">
            <v>8909628.4900000002</v>
          </cell>
          <cell r="C55" t="str">
            <v>DO</v>
          </cell>
          <cell r="D55" t="str">
            <v xml:space="preserve">PONTO FORTE CONSTRUÇÕES E EMPREENDIMENTOS </v>
          </cell>
          <cell r="E55" t="str">
            <v>Prestação dos serviços de manutenção de redes coletoras de esgoto do interior da Companhia de Saneamento Ambiental do Maranhão – CAEMA. LOTE 02 – Itapecuru, Chapadinha, Vargem Grande e Coroatá.</v>
          </cell>
          <cell r="F55" t="str">
            <v xml:space="preserve">LICITAÇÃO ELETRÔNICA Nº 014/2024 </v>
          </cell>
          <cell r="G55" t="str">
            <v>01.958.324/0001-08</v>
          </cell>
          <cell r="H55" t="str">
            <v>Portaria 329/2025</v>
          </cell>
          <cell r="I55" t="str">
            <v>Luis Felipe Pontes Silva/ Denis Monteiro Nascimento Jr/ José de Lima da Cruz</v>
          </cell>
          <cell r="J55" t="str">
            <v>Raimundo Marcio Sousa Simoes/ Pedro Paulo Barbosa Nunes Sobrinho/ Francicos da Chagas Teixeira de Sousa</v>
          </cell>
          <cell r="K55">
            <v>45937</v>
          </cell>
          <cell r="L55" t="e">
            <v>#NUM!</v>
          </cell>
        </row>
        <row r="56">
          <cell r="A56" t="str">
            <v>051/2024</v>
          </cell>
          <cell r="B56">
            <v>2443137.9300000002</v>
          </cell>
          <cell r="C56" t="str">
            <v>DO</v>
          </cell>
          <cell r="D56" t="str">
            <v xml:space="preserve">PONTO FORTE CONSTRUÇÕES E EMPREENDIMENTOS </v>
          </cell>
          <cell r="E56" t="str">
            <v>Prestação dos serviços de manutenção de redes coletoras de esgoto do interior da Companhia de Saneamento Ambiental do Maranhão – CAEMA. LOTE 03 – BARRA DO CORDA</v>
          </cell>
          <cell r="F56" t="str">
            <v xml:space="preserve">LICITAÇÃO ELETRÔNICA Nº 014/2024 </v>
          </cell>
          <cell r="G56" t="str">
            <v>01.958.324/0001-08</v>
          </cell>
          <cell r="H56" t="str">
            <v>Portaria 330/2025</v>
          </cell>
          <cell r="I56" t="str">
            <v>José Fernando Castro Silva</v>
          </cell>
          <cell r="J56" t="str">
            <v>Francisco Ferreira Gomes Junior</v>
          </cell>
          <cell r="K56">
            <v>45937</v>
          </cell>
          <cell r="L56" t="e">
            <v>#NUM!</v>
          </cell>
        </row>
        <row r="57">
          <cell r="A57" t="str">
            <v>056/2024</v>
          </cell>
          <cell r="B57">
            <v>374332.1</v>
          </cell>
          <cell r="C57" t="str">
            <v>DG</v>
          </cell>
          <cell r="D57" t="str">
            <v xml:space="preserve">FUNDAÇÃO JOSUÉ MONTELO </v>
          </cell>
          <cell r="E57" t="str">
            <v>Contratação de instituição brasileira incumbida regimental ou estatutariamente da pesquisa, do ensino ou do desenvolvimento institucional, para apoio ao desenvolvimento institucional da CAEMA, por meio de projeto especifico que contempla a alocação de recursos tecnológicos, material permanente e pessoal qualificado na Area de saneamento ambiental, especificamente com a execução de um Projeto de Otimização dos Serviços de Abastecimento de Agua nos municípios do interior do estado do Maranhao.</v>
          </cell>
          <cell r="F57" t="str">
            <v>DISPENSA DE LICITAÇÃO
N° 027/2024</v>
          </cell>
          <cell r="G57" t="str">
            <v>01.441.372/0001-16</v>
          </cell>
          <cell r="H57" t="str">
            <v>Portaria 322/2025</v>
          </cell>
          <cell r="I57" t="str">
            <v>Adilon Arruda Leda Filho</v>
          </cell>
          <cell r="J57" t="str">
            <v>João Ricardo de Araujo Silva</v>
          </cell>
          <cell r="K57">
            <v>45940</v>
          </cell>
          <cell r="L57" t="e">
            <v>#NUM!</v>
          </cell>
        </row>
        <row r="58">
          <cell r="A58" t="str">
            <v>052/2024</v>
          </cell>
          <cell r="B58" t="str">
            <v>2.850.00,00</v>
          </cell>
          <cell r="C58" t="str">
            <v>DO</v>
          </cell>
          <cell r="D58" t="str">
            <v xml:space="preserve">PONTO FORTE CONSTRUÇÕES E EMPREENDIMENTOS </v>
          </cell>
          <cell r="E58" t="str">
            <v>Contratação de empresa especializada para execução de serviços de manutenção de redes, ramais prediais e pequenas ampliações de redes dos sistemas de abastecimento de água de São Luís/MA, da ÁREA DO VINHAIS. LOTE 01</v>
          </cell>
          <cell r="F58" t="str">
            <v xml:space="preserve">LICITAÇÃO ELETRÔNICA Nº 001/2024 </v>
          </cell>
          <cell r="G58" t="str">
            <v>01.958.324/0001-08</v>
          </cell>
          <cell r="K58">
            <v>45945</v>
          </cell>
          <cell r="L58" t="e">
            <v>#NUM!</v>
          </cell>
        </row>
        <row r="59">
          <cell r="A59" t="str">
            <v>053/2024</v>
          </cell>
          <cell r="B59">
            <v>2597000</v>
          </cell>
          <cell r="C59" t="str">
            <v>DO</v>
          </cell>
          <cell r="D59" t="str">
            <v xml:space="preserve">PONTO FORTE CONSTRUÇÕES E EMPREENDIMENTOS </v>
          </cell>
          <cell r="E59" t="str">
            <v>Contratação de empresa especializada para execução de serviços de manutenção de redes, ramais prediais e pequenas ampliações de redes dos sistemas de abastecimento de água de São Luís/MA, do ANJO DA GUARDA. LOTE 04</v>
          </cell>
          <cell r="F59" t="str">
            <v xml:space="preserve">LICITAÇÃO ELETRÔNICA Nº 001/2024 </v>
          </cell>
          <cell r="G59" t="str">
            <v>01.958.324/0001-08</v>
          </cell>
          <cell r="H59" t="str">
            <v>Portaria 097/2025</v>
          </cell>
          <cell r="I59" t="str">
            <v>Raimundo Nonato Ferreira Pinheiro</v>
          </cell>
          <cell r="J59" t="str">
            <v>Edvaldo dos Santos Everton</v>
          </cell>
          <cell r="K59">
            <v>45945</v>
          </cell>
          <cell r="L59" t="e">
            <v>#NUM!</v>
          </cell>
        </row>
        <row r="60">
          <cell r="A60" t="str">
            <v>054/2024</v>
          </cell>
          <cell r="B60">
            <v>2550000</v>
          </cell>
          <cell r="C60" t="str">
            <v>DO</v>
          </cell>
          <cell r="D60" t="str">
            <v xml:space="preserve">QUÂNTICA X CONSTRUÇÕES E COMÉRCIO LTDA </v>
          </cell>
          <cell r="E60" t="str">
            <v>Contratação de empresa especializada para execução de serviços de manutenção de redes, ramais prediais e pequenas ampliações de redes dos sistemas de abastecimento de água de São Luis/MA, do BAIRRO COHAB, LOTE 02.</v>
          </cell>
          <cell r="F60" t="str">
            <v xml:space="preserve">LICITAÇÃO ELETRÔNICA Nº 001/2024 </v>
          </cell>
          <cell r="G60" t="str">
            <v>10.935.566/0001-69</v>
          </cell>
          <cell r="H60" t="str">
            <v>Portaria 096/2025</v>
          </cell>
          <cell r="I60" t="str">
            <v>Raimundo Nonato Ferreira Pinheiro</v>
          </cell>
          <cell r="J60" t="str">
            <v>Railson Ferreira da Silva</v>
          </cell>
          <cell r="K60">
            <v>45945</v>
          </cell>
          <cell r="L60" t="e">
            <v>#NUM!</v>
          </cell>
        </row>
        <row r="61">
          <cell r="A61" t="str">
            <v>055/2024</v>
          </cell>
          <cell r="B61">
            <v>1890000</v>
          </cell>
          <cell r="C61" t="str">
            <v>DO</v>
          </cell>
          <cell r="D61" t="str">
            <v xml:space="preserve">QUÂNTICA X CONSTRUÇÕES E COMÉRCIO LTDA </v>
          </cell>
          <cell r="E61" t="str">
            <v>Contratação de empresa especializada para execução de serviços de manutenção de redes, ramais prediais e pequenas ampliações de redes dos sistemas de abastecimento de Agua de Sao Luis/MA, da CIDADE OPERARIA, LOTE 03.</v>
          </cell>
          <cell r="F61" t="str">
            <v xml:space="preserve">LICITAÇÃO ELETRÔNICA Nº 001/2024 </v>
          </cell>
          <cell r="G61" t="str">
            <v>10.935.566/0001-69</v>
          </cell>
          <cell r="H61" t="str">
            <v>Portaria 095/2025</v>
          </cell>
          <cell r="I61" t="str">
            <v>Raimundo Nonato Ferreira Pinheiro</v>
          </cell>
          <cell r="J61" t="str">
            <v>José da Conceição Nogueira Viana</v>
          </cell>
          <cell r="K61">
            <v>45945</v>
          </cell>
          <cell r="L61" t="e">
            <v>#NUM!</v>
          </cell>
        </row>
        <row r="62">
          <cell r="A62" t="str">
            <v>033/2025</v>
          </cell>
          <cell r="B62">
            <v>3599064</v>
          </cell>
          <cell r="C62" t="str">
            <v>DO</v>
          </cell>
          <cell r="D62" t="str">
            <v xml:space="preserve">SABARÁ QUIMICOS E INGREDIENTES </v>
          </cell>
          <cell r="E62" t="str">
            <v>Serviço de dosagem de cloro gasoso liquefeito, com fornecimento do produto, que deverá ser fornecido em cilindros com capacidade de 68 kg e 900 kg. Além disso, CONTRATADA será responsável pela logística de distribuição do produto entre as 40 instalações da companhia distribuídas no Estado, bem como pela manutenção (corretiva) dos sistemas de dosagem</v>
          </cell>
          <cell r="F62">
            <v>0</v>
          </cell>
          <cell r="G62" t="str">
            <v>12.884.672/0004-39</v>
          </cell>
          <cell r="K62">
            <v>45945</v>
          </cell>
          <cell r="L62" t="e">
            <v>#NUM!</v>
          </cell>
        </row>
        <row r="63">
          <cell r="A63" t="str">
            <v>034/2025</v>
          </cell>
          <cell r="B63">
            <v>765748.8</v>
          </cell>
          <cell r="C63" t="str">
            <v>DG</v>
          </cell>
          <cell r="D63" t="str">
            <v>LOCADORA SÃO LUÍS</v>
          </cell>
          <cell r="E63" t="str">
            <v>Contratação de empresa especializada na prestação dos serviços de locação de 20 Veículos tipo Pick-up Compacta e de 09 Veículos Tipo Hatch, sem motorista e sem combustível</v>
          </cell>
          <cell r="F63" t="str">
            <v>DISPENSA DE LICITAÇÃO</v>
          </cell>
          <cell r="G63" t="str">
            <v xml:space="preserve"> 01.870.297/0001-09</v>
          </cell>
          <cell r="H63" t="str">
            <v>Portaria 365/2025</v>
          </cell>
          <cell r="I63" t="str">
            <v>Adonias Lima Coelho</v>
          </cell>
          <cell r="J63" t="str">
            <v>Jurandir Pereira da Silva</v>
          </cell>
          <cell r="K63">
            <v>45943</v>
          </cell>
          <cell r="L63" t="e">
            <v>#NUM!</v>
          </cell>
          <cell r="R63">
            <v>45763</v>
          </cell>
        </row>
        <row r="64">
          <cell r="A64" t="str">
            <v>047/2024</v>
          </cell>
          <cell r="B64">
            <v>460063.6</v>
          </cell>
          <cell r="C64" t="str">
            <v>DE</v>
          </cell>
          <cell r="D64" t="str">
            <v xml:space="preserve">BATALHA CONSTRUÇÃO LTDA </v>
          </cell>
          <cell r="E64" t="str">
            <v>Execução de serviços comuns de engenharia para perfuração de 01 (um) poço tubular profundo no Bairro Ilha Bela – São Cristóvão, na Cidade de São Luís MA: 8” X 120M.</v>
          </cell>
          <cell r="F64" t="str">
            <v>PREGÃO ELETRÔNICO Nº 024/2023</v>
          </cell>
          <cell r="G64" t="str">
            <v>07.908.484/0001-10</v>
          </cell>
          <cell r="H64" t="str">
            <v>Portaria 567/2024</v>
          </cell>
          <cell r="I64" t="str">
            <v>Elio Ataídes Cavalcante</v>
          </cell>
          <cell r="J64" t="str">
            <v>Daiane Volff Ferreira</v>
          </cell>
          <cell r="K64">
            <v>45946</v>
          </cell>
          <cell r="L64" t="e">
            <v>#NUM!</v>
          </cell>
        </row>
        <row r="65">
          <cell r="A65" t="str">
            <v>063/2024</v>
          </cell>
          <cell r="B65">
            <v>4579944</v>
          </cell>
          <cell r="C65" t="str">
            <v>DE</v>
          </cell>
          <cell r="D65" t="str">
            <v xml:space="preserve">OMNIA CONSTRUÇÕES E COMÉRCIO LTDA </v>
          </cell>
          <cell r="E65" t="str">
            <v>Prestação de serviços de manutenção predial visando atender a Região Metropolitana, Gerência de Negócios de Pinheiro, Gerência de Negócios de Santa Inês, Gerência de Negócios de Itapecuru, Gerência de Negócios de Barreirinhas e Gerência de Negócios de Chapadinha.</v>
          </cell>
          <cell r="F65" t="str">
            <v>LICITAÇÃO ELETRÔNICA N° 005/2024</v>
          </cell>
          <cell r="G65" t="str">
            <v>36.739.095/0001-07</v>
          </cell>
          <cell r="H65" t="str">
            <v>Portaria 607/2024</v>
          </cell>
          <cell r="I65" t="str">
            <v>Elio Ataídes Cavalcante</v>
          </cell>
          <cell r="J65" t="str">
            <v>Gabriel Feres Moreira Lima</v>
          </cell>
          <cell r="K65">
            <v>45948</v>
          </cell>
          <cell r="L65" t="e">
            <v>#NUM!</v>
          </cell>
        </row>
        <row r="66">
          <cell r="A66" t="str">
            <v>064/2024</v>
          </cell>
          <cell r="B66">
            <v>2191805.14</v>
          </cell>
          <cell r="C66" t="str">
            <v>DE</v>
          </cell>
          <cell r="D66" t="str">
            <v xml:space="preserve">OMNIA CONSTRUÇÕES E COMÉRCIO LTDA </v>
          </cell>
          <cell r="E66" t="str">
            <v>Prestação de serviços de manutenção predial visando atender a Gerência de negócios de Imperatriz, Gerência de negócios de Pedreiras, Gerência de negócios de Presidente Dutra e Gerência de negócios de Colinas/MA.</v>
          </cell>
          <cell r="F66" t="str">
            <v>LICITAÇÃO ELETRÔNICA                             N° 006/2024</v>
          </cell>
          <cell r="G66" t="str">
            <v>36.739.095/0001- 07</v>
          </cell>
          <cell r="H66" t="str">
            <v>Portaria 051/2025</v>
          </cell>
          <cell r="I66" t="str">
            <v>Sandro Sávio Soares Fonseca</v>
          </cell>
          <cell r="J66" t="str">
            <v>George Carvalho Costa</v>
          </cell>
          <cell r="K66">
            <v>45949</v>
          </cell>
          <cell r="L66" t="e">
            <v>#NUM!</v>
          </cell>
        </row>
        <row r="67">
          <cell r="A67" t="str">
            <v>017/2025</v>
          </cell>
          <cell r="B67">
            <v>592882.14</v>
          </cell>
          <cell r="C67" t="str">
            <v>DE</v>
          </cell>
          <cell r="D67" t="str">
            <v>PALMARES CONSTRUÇÕES LTDA</v>
          </cell>
          <cell r="E67" t="str">
            <v>O objeto do presente Termo de Contrato é a perfuração de 01 (um) poço tubular, no Município de Conceição do Lago Acú/MA</v>
          </cell>
          <cell r="F67" t="str">
            <v xml:space="preserve">Pregão Eletrônico n.º 024/2023-PRE/CAEMA </v>
          </cell>
          <cell r="G67" t="str">
            <v>11.302.593/0001-67</v>
          </cell>
          <cell r="H67" t="str">
            <v>Portaria 205/2025</v>
          </cell>
          <cell r="I67" t="str">
            <v>Sandro Sávio Soares Fonseca</v>
          </cell>
          <cell r="J67" t="str">
            <v>Daiane Volff Ferreira</v>
          </cell>
          <cell r="K67">
            <v>45953</v>
          </cell>
          <cell r="L67" t="e">
            <v>#NUM!</v>
          </cell>
        </row>
        <row r="68">
          <cell r="A68" t="str">
            <v>018/2025</v>
          </cell>
          <cell r="B68">
            <v>522811.64</v>
          </cell>
          <cell r="C68" t="str">
            <v>DE</v>
          </cell>
          <cell r="D68" t="str">
            <v>HIDREL ENGENHARIA LTDA</v>
          </cell>
          <cell r="E68" t="str">
            <v>Perfuração de 01 (um) poço tubular profundo, no município de Fortuna/MA: 6`` x 250m</v>
          </cell>
          <cell r="F68" t="str">
            <v>Pregão Eletrônico N.º 024/2023-PRE/CAEMA</v>
          </cell>
          <cell r="G68" t="str">
            <v>73.864.233/0001-06</v>
          </cell>
          <cell r="H68" t="str">
            <v>Portaria 238/2025</v>
          </cell>
          <cell r="I68" t="str">
            <v>Sandro Sávio Soares Fonseca</v>
          </cell>
          <cell r="J68" t="str">
            <v>Daiane Volff Ferreira</v>
          </cell>
          <cell r="K68">
            <v>45953</v>
          </cell>
          <cell r="L68" t="e">
            <v>#NUM!</v>
          </cell>
        </row>
        <row r="69">
          <cell r="A69" t="str">
            <v>060/2024</v>
          </cell>
          <cell r="B69">
            <v>75000</v>
          </cell>
          <cell r="C69" t="str">
            <v>DG</v>
          </cell>
          <cell r="D69" t="str">
            <v>C.I. COMUNICAÇÃO &amp; INFORMAÇÃO LTDA</v>
          </cell>
          <cell r="E69" t="str">
            <v>Contratação de empresa especializada, para prestação de serviços de clipping e mensuração de mídia, de todos os assuntos que fizerem referência à Companhia de Saneamento Ambiental do Maranhão (CAEMA) nas cidades de São Luís, Imperatriz, Chapadinha, Pinheiro, Presidente Dutra e Santa Inês, no Estado do Maranhão.</v>
          </cell>
          <cell r="F69" t="str">
            <v>INEXIGIBILIDADE DE
LICITAÇÃO N° 012/2024</v>
          </cell>
          <cell r="G69" t="str">
            <v>07.461.897/0001-08</v>
          </cell>
          <cell r="K69">
            <v>45954</v>
          </cell>
          <cell r="L69" t="e">
            <v>#NUM!</v>
          </cell>
        </row>
        <row r="70">
          <cell r="A70" t="str">
            <v>055/2020</v>
          </cell>
          <cell r="B70">
            <v>756418.18</v>
          </cell>
          <cell r="C70" t="str">
            <v>DO</v>
          </cell>
          <cell r="D70" t="str">
            <v>SEABRA AUTOMAÇÃO INDUSTRIAL EIRELI</v>
          </cell>
          <cell r="E70" t="str">
            <v>Execução de serviços com fornecimento de materiais e componentes eletroeletrônicos para a implantação de sistema de telemetria e telecomando em unidades operacionais da CAEMA em São Luís</v>
          </cell>
          <cell r="F70" t="str">
            <v>Pregão Eletrônico 029/2020 CAEMA</v>
          </cell>
          <cell r="G70" t="str">
            <v>15.452.988/0001-05</v>
          </cell>
          <cell r="H70" t="str">
            <v>Portaria 199/2023</v>
          </cell>
          <cell r="I70" t="str">
            <v>Antonio Rafael de Oliveira Portelada</v>
          </cell>
          <cell r="J70" t="str">
            <v>Alex Nonato Barros Costa</v>
          </cell>
          <cell r="K70">
            <v>45955</v>
          </cell>
          <cell r="L70" t="e">
            <v>#NUM!</v>
          </cell>
        </row>
        <row r="71">
          <cell r="A71" t="str">
            <v>050/2020</v>
          </cell>
          <cell r="B71">
            <v>43982.879999999997</v>
          </cell>
          <cell r="C71" t="str">
            <v>DG</v>
          </cell>
          <cell r="D71" t="str">
            <v>C&amp;S VIGILÂNCIA E SEGURANÇA PATRIMONIAL EIRELI</v>
          </cell>
          <cell r="E71" t="str">
            <v>Contratação de empresa especializada em vigilância patrimonial e pessoal para a prestação de serviços de vigilância armada, para a Cidade de Imperatriz/MA</v>
          </cell>
          <cell r="F71" t="str">
            <v>Pregão Presencial Nº 014/2020 - PRE/CAEMA</v>
          </cell>
          <cell r="G71" t="str">
            <v>14.151.000/0002-88</v>
          </cell>
          <cell r="H71" t="str">
            <v>Portaria 290/2025</v>
          </cell>
          <cell r="I71" t="str">
            <v>Adonias Lima Coelho</v>
          </cell>
          <cell r="J71" t="str">
            <v>Abel Carlos Cavalcanti</v>
          </cell>
          <cell r="K71">
            <v>45955</v>
          </cell>
          <cell r="L71" t="e">
            <v>#NUM!</v>
          </cell>
        </row>
        <row r="72">
          <cell r="A72" t="str">
            <v>087/2023</v>
          </cell>
          <cell r="B72">
            <v>13200</v>
          </cell>
          <cell r="C72" t="str">
            <v>DG-LOCAÇÃO</v>
          </cell>
          <cell r="D72" t="str">
            <v>LETÁCIO DE SÁ COÊLHO (NOVA IORQUE)</v>
          </cell>
          <cell r="E72" t="str">
            <v>Locação do imóvel situado na Travessa da Rua Nova, s/n, Centro , no Município de Nova Iorque MA</v>
          </cell>
          <cell r="F72" t="str">
            <v>DISPENSA DE LICITAÇÃO N° 028/2023</v>
          </cell>
          <cell r="G72" t="str">
            <v>282.510.913-49</v>
          </cell>
          <cell r="K72">
            <v>45957</v>
          </cell>
          <cell r="L72" t="e">
            <v>#NUM!</v>
          </cell>
        </row>
        <row r="73">
          <cell r="A73" t="str">
            <v>036/2025</v>
          </cell>
          <cell r="B73">
            <v>55999.95</v>
          </cell>
          <cell r="C73" t="str">
            <v>DG</v>
          </cell>
          <cell r="D73" t="str">
            <v>CONTROLE SERVIÇOS E COMERCIO DE INFORMÁTICA</v>
          </cell>
          <cell r="E73" t="str">
            <v>Fornecimento com entrega de aparelhos de ar condicionado, conforme descrição e quantidade definidas na CLÁUSULA TERCEIRA, para atender às necessidades da Companhia de Saneamento Ambiental do Maranhão - CAEMA, conforme especificações e condições estabelecidas no Termo de Referência.</v>
          </cell>
          <cell r="F73" t="str">
            <v>Licitação Eletrônica n.º 035/2024-PRL/CAEMA</v>
          </cell>
          <cell r="G73" t="str">
            <v>10.592.584/0002-76</v>
          </cell>
          <cell r="H73" t="str">
            <v>Portaria 193/2025</v>
          </cell>
          <cell r="I73" t="str">
            <v>Edjunior de Abreu Mendes</v>
          </cell>
          <cell r="J73" t="str">
            <v>Adonias Lima Coelho</v>
          </cell>
          <cell r="K73">
            <v>45957</v>
          </cell>
          <cell r="L73" t="e">
            <v>#NUM!</v>
          </cell>
        </row>
        <row r="74">
          <cell r="A74" t="str">
            <v>037/2025</v>
          </cell>
          <cell r="B74">
            <v>97488</v>
          </cell>
          <cell r="C74" t="str">
            <v>DG</v>
          </cell>
          <cell r="D74" t="str">
            <v>O MOVELEIRO CIA</v>
          </cell>
          <cell r="E74" t="str">
            <v>Fornecimento com entrega de aparelhos de ar condicionado, para atender às necessidades da Companhia de Saneamento Ambiental do Maranhão - CAEMA, conforme especificações e condições estabelecidas no Termo de Referência, Anexo I, do Edital da Licitação Eletrônica n° 035/2024 – PRL/CAEMA, ATA DE REGISTRO DE PREÇOS Nº 003/2025.</v>
          </cell>
          <cell r="F74" t="str">
            <v>Licitação Eletrônica n.º 035/2024-PRL/CAEMA</v>
          </cell>
          <cell r="G74" t="str">
            <v>08.773.990/0001-02</v>
          </cell>
          <cell r="K74">
            <v>45957</v>
          </cell>
          <cell r="L74" t="e">
            <v>#NUM!</v>
          </cell>
        </row>
        <row r="75">
          <cell r="A75" t="str">
            <v>038/2025</v>
          </cell>
          <cell r="B75">
            <v>140510.5</v>
          </cell>
          <cell r="C75" t="str">
            <v>DG</v>
          </cell>
          <cell r="D75" t="str">
            <v>O.C. ARAUJO JM MULTIMAR LTDA</v>
          </cell>
          <cell r="E75" t="str">
            <v>Fornecimento com entrega de aparelhos de ar condicionado, conforme descrição e quantidade definidas na CLÁUSULA TERCEIRA, para atender às necessidades da Companhia de Saneamento Ambiental do Maranhão - CAEMA.</v>
          </cell>
          <cell r="F75" t="str">
            <v>Licitação Eletrônica n.º 035/2024-PRL/CAEMA</v>
          </cell>
          <cell r="G75" t="str">
            <v>28.489.248/0001-87</v>
          </cell>
          <cell r="K75">
            <v>45957</v>
          </cell>
          <cell r="L75" t="e">
            <v>#NUM!</v>
          </cell>
        </row>
        <row r="76">
          <cell r="A76" t="str">
            <v>035/2025</v>
          </cell>
          <cell r="B76">
            <v>84500</v>
          </cell>
          <cell r="C76" t="str">
            <v>DG</v>
          </cell>
          <cell r="D76" t="str">
            <v>M FELIPE GALVÃO LTDA</v>
          </cell>
          <cell r="E76" t="str">
            <v>Fornecimento com entrega de 10 (dez) aparelhos de ar condicionado, conforme descrição e quantidade definidas na CLÁUSULA TERCEIRA, para atender às necessidades da Companhia de Saneamento Ambiental do Maranhão - CAEMA.</v>
          </cell>
          <cell r="F76" t="str">
            <v>Licitação Eletrônica n.º 035/2024-PRL/CAEMA</v>
          </cell>
          <cell r="G76" t="str">
            <v>24.183.988/0001-30</v>
          </cell>
          <cell r="K76">
            <v>45958</v>
          </cell>
          <cell r="L76" t="e">
            <v>#NUM!</v>
          </cell>
        </row>
        <row r="77">
          <cell r="A77" t="str">
            <v>065/2024</v>
          </cell>
          <cell r="B77">
            <v>2899365.45</v>
          </cell>
          <cell r="C77" t="str">
            <v>DO</v>
          </cell>
          <cell r="D77" t="str">
            <v xml:space="preserve">3D SERVIÇOS AMBIENTAIS LTDA </v>
          </cell>
          <cell r="E77" t="str">
            <v>Contratação de empresa para a prestação de serviços comuns de engenharia de manutenção de redes coletoras de esgoto da Companhia de Saneamento Ambiental do Maranhão — CAEMA, na cidade de Imperatriz/MA, LOTE 02</v>
          </cell>
          <cell r="F77" t="str">
            <v>DISPENSA DE LICITAÇÃO POR REMANESCENTE
N° 031/2024</v>
          </cell>
          <cell r="G77" t="str">
            <v>63.444.715/0001-53</v>
          </cell>
          <cell r="K77">
            <v>45959</v>
          </cell>
          <cell r="L77" t="e">
            <v>#NUM!</v>
          </cell>
        </row>
        <row r="78">
          <cell r="A78" t="str">
            <v>002/2025</v>
          </cell>
          <cell r="B78">
            <v>1538218.15</v>
          </cell>
          <cell r="C78" t="str">
            <v>DE</v>
          </cell>
          <cell r="D78" t="str">
            <v>HIDREL ENGENHARIA LTDA</v>
          </cell>
          <cell r="E78" t="str">
            <v>Perfuração de 02 (dois) poços tubulares profundos, nos Municípios de Presidente Dutra e Pedreiras/MA.</v>
          </cell>
          <cell r="F78" t="str">
            <v>PREGÃO ELETRÔNICO
N° 024/2023</v>
          </cell>
          <cell r="G78" t="str">
            <v>73.864.233/0001-06</v>
          </cell>
          <cell r="H78" t="str">
            <v>Portaria 067/2025</v>
          </cell>
          <cell r="I78" t="str">
            <v>Sandro Sávio Soares Fonseca</v>
          </cell>
          <cell r="J78" t="str">
            <v>Daiane Volff Ferreira</v>
          </cell>
          <cell r="K78">
            <v>45959</v>
          </cell>
          <cell r="L78" t="e">
            <v>#NUM!</v>
          </cell>
        </row>
        <row r="79">
          <cell r="A79" t="str">
            <v>105/2023</v>
          </cell>
          <cell r="B79">
            <v>155889.01999999999</v>
          </cell>
          <cell r="C79" t="str">
            <v>DG</v>
          </cell>
          <cell r="D79" t="str">
            <v>CSF SERVIÇOS DIGITAIS LTDA</v>
          </cell>
          <cell r="E79" t="str">
            <v xml:space="preserve">Locação de impressoras e multifuncionais </v>
          </cell>
          <cell r="F79" t="str">
            <v>PREGÃO ELETRONICO 011/2023</v>
          </cell>
          <cell r="G79">
            <v>8953969000199</v>
          </cell>
          <cell r="H79" t="str">
            <v>Portaria 176/2024</v>
          </cell>
          <cell r="I79" t="str">
            <v>Talyane Andrade de Matos</v>
          </cell>
          <cell r="J79" t="str">
            <v>Edjunior de Abreu Mendes</v>
          </cell>
          <cell r="K79">
            <v>45961</v>
          </cell>
          <cell r="L79" t="e">
            <v>#NUM!</v>
          </cell>
        </row>
        <row r="80">
          <cell r="A80" t="str">
            <v>106/2023</v>
          </cell>
          <cell r="B80">
            <v>89592.54</v>
          </cell>
          <cell r="C80" t="str">
            <v>DG</v>
          </cell>
          <cell r="D80" t="str">
            <v>FATOR COMÉRCIO E SERVIÇOS LTDA</v>
          </cell>
          <cell r="E80" t="str">
            <v xml:space="preserve">Locação de impressoras e multifuncionais através de solução de impressão departamental </v>
          </cell>
          <cell r="F80" t="str">
            <v>PREGÃO ELETRONICO 011/2023</v>
          </cell>
          <cell r="G80" t="str">
            <v>10.476.972/0001-00</v>
          </cell>
          <cell r="K80">
            <v>45961</v>
          </cell>
          <cell r="L80" t="e">
            <v>#NUM!</v>
          </cell>
        </row>
        <row r="81">
          <cell r="A81" t="str">
            <v>001/2025</v>
          </cell>
          <cell r="B81">
            <v>389068.84</v>
          </cell>
          <cell r="C81" t="str">
            <v>DE</v>
          </cell>
          <cell r="D81" t="str">
            <v>PALMARES CONSTRUÇÕES LTDA</v>
          </cell>
          <cell r="E81" t="str">
            <v>Execução dos serviços específicos de engenharia e hidrogeologia, para perfuração de 01 (um) poço tubular profundo no Sistema de Abastecimento do Município de Mata Roma/MA, pertencente à Gerência de Chapadinha/MA (Lote 02).</v>
          </cell>
          <cell r="F81" t="str">
            <v>PREGÃO ELETRÔNICO Nº 024/2023 - PRE/CAEMA- ARP n° 020/2023-CAEMA</v>
          </cell>
          <cell r="G81" t="str">
            <v>11.302.593/0001-67</v>
          </cell>
          <cell r="K81">
            <v>45967</v>
          </cell>
          <cell r="L81" t="e">
            <v>#NUM!</v>
          </cell>
        </row>
        <row r="82">
          <cell r="A82" t="str">
            <v>039/2025</v>
          </cell>
          <cell r="B82">
            <v>56890</v>
          </cell>
          <cell r="C82" t="str">
            <v>DG</v>
          </cell>
          <cell r="D82" t="str">
            <v>AGASERV COMÉRCIO E ASSISTÊNCIA TÉCNICA EIRELI</v>
          </cell>
          <cell r="E82" t="str">
            <v>Fornecimento com entrega de aparelhos de 10 (dez) aparelhos de ar condicionado</v>
          </cell>
          <cell r="F82" t="str">
            <v>Licitação Eletrônica n.º 035/2024-PRL/CAEMA</v>
          </cell>
          <cell r="G82" t="str">
            <v>77.853.083/0003-58</v>
          </cell>
          <cell r="K82">
            <v>45967</v>
          </cell>
          <cell r="L82" t="e">
            <v>#NUM!</v>
          </cell>
        </row>
        <row r="83">
          <cell r="A83" t="str">
            <v>088/2023</v>
          </cell>
          <cell r="B83">
            <v>14640</v>
          </cell>
          <cell r="C83" t="str">
            <v>DG-LOCAÇÃO</v>
          </cell>
          <cell r="D83" t="str">
            <v>JOSÉ CARLOS PONTES (BENEDITO LEITE)</v>
          </cell>
          <cell r="E83" t="str">
            <v>Locação do imóvel situado na Rua Getúlio Vargas, s/n, centro, no Município de Benedito Leite/MA, para funcionamento do Escritório Local nesse Município</v>
          </cell>
          <cell r="F83" t="str">
            <v>DISPENSA DE LICITAÇÃO N° 029/2023</v>
          </cell>
          <cell r="G83" t="str">
            <v>151.807.351-49</v>
          </cell>
          <cell r="K83">
            <v>45969</v>
          </cell>
          <cell r="L83" t="e">
            <v>#NUM!</v>
          </cell>
        </row>
        <row r="84">
          <cell r="A84" t="str">
            <v>068/2024</v>
          </cell>
          <cell r="B84">
            <v>1050800</v>
          </cell>
          <cell r="C84" t="str">
            <v>DO</v>
          </cell>
          <cell r="D84" t="str">
            <v xml:space="preserve">SANEMAR LTDA </v>
          </cell>
          <cell r="E84" t="str">
            <v>Fornecimento com entrega de 710.000 kg (setecentos e dez mil quilos) de CAL HIDRATADA (hidróxido de cálcio) para uso como auxiliar de coagulação no tratamento de água, destinada ao consumo humano, dos Sistemas de Abastecimento de Água de São Luís e do Interior do Estado do Maranhão, operados pela Companhia de Saneamento Ambiental do Maranhão – CAEMA.</v>
          </cell>
          <cell r="F84" t="str">
            <v>LICITAÇÃO ELETRÔNICA
 N° 016/2024</v>
          </cell>
          <cell r="G84" t="str">
            <v>10.340.491/0001-73</v>
          </cell>
          <cell r="K84">
            <v>45969</v>
          </cell>
          <cell r="L84" t="e">
            <v>#NUM!</v>
          </cell>
        </row>
        <row r="85">
          <cell r="A85" t="str">
            <v>069/2024</v>
          </cell>
          <cell r="B85">
            <v>2779954.36</v>
          </cell>
          <cell r="C85" t="str">
            <v>DO</v>
          </cell>
          <cell r="D85" t="str">
            <v xml:space="preserve">PONTO FORTE CONSTRUÇÕES E EMPREENDIMENTOS </v>
          </cell>
          <cell r="E85" t="str">
            <v>Contratação de empresa especializada para execução de serviços de manutenção de redes, ramais prediais e pequenas ampliações de redes dos sistemas de abastecimento de água da região do Centro de São Luís/MA.</v>
          </cell>
          <cell r="F85" t="str">
            <v>LICITAÇÃO ELETRÔNICA
 N° 022/2024</v>
          </cell>
          <cell r="G85" t="str">
            <v>01.958.324/0001-08</v>
          </cell>
          <cell r="K85">
            <v>45969</v>
          </cell>
          <cell r="L85" t="e">
            <v>#NUM!</v>
          </cell>
        </row>
        <row r="86">
          <cell r="A86" t="str">
            <v>071/2024</v>
          </cell>
          <cell r="B86">
            <v>50000</v>
          </cell>
          <cell r="C86" t="str">
            <v>DG</v>
          </cell>
          <cell r="D86" t="str">
            <v xml:space="preserve">F E DOS SANTOS COMÉRCIO LTDA </v>
          </cell>
          <cell r="E86" t="str">
            <v xml:space="preserve">Contratação de empresa especializada para a prestação de serviços gráficos diversos.
</v>
          </cell>
          <cell r="F86" t="str">
            <v>DISPENSA DE LICITAÇÃO
N° 036/2024</v>
          </cell>
          <cell r="G86" t="str">
            <v>06.315.506/0001-76</v>
          </cell>
          <cell r="K86">
            <v>45974</v>
          </cell>
          <cell r="L86" t="e">
            <v>#NUM!</v>
          </cell>
        </row>
        <row r="87">
          <cell r="A87" t="str">
            <v>093/2022</v>
          </cell>
          <cell r="B87">
            <v>81614.12</v>
          </cell>
          <cell r="C87" t="str">
            <v>DO</v>
          </cell>
          <cell r="D87" t="str">
            <v>AP ENGETECH LTDA</v>
          </cell>
          <cell r="E87" t="str">
            <v>Serviços técnicos eventuais SOB DEMANDA de manutenção elétrica corretiva em subestações aéreas até 300 kVA, entrada de energia, ramal de ligação de Subestações Abrigadas e em Redes de Distribuição de Energia Elétrica até 15 kV, instaladas nas diversas Unidades Operacionais da CAEMA</v>
          </cell>
          <cell r="F87" t="str">
            <v>Pregão Eletrônico 044/2022/PRE-CAEMA- PE0442022</v>
          </cell>
          <cell r="G87" t="str">
            <v>12.769.072/0001-87</v>
          </cell>
          <cell r="K87">
            <v>45981</v>
          </cell>
          <cell r="L87">
            <v>1</v>
          </cell>
        </row>
        <row r="88">
          <cell r="A88" t="str">
            <v>079/2021</v>
          </cell>
          <cell r="B88">
            <v>850000</v>
          </cell>
          <cell r="C88" t="str">
            <v>DC</v>
          </cell>
          <cell r="D88" t="str">
            <v>SERASA</v>
          </cell>
          <cell r="E88" t="str">
            <v>Contratação de empresa para prestação de serviços continuados de inclusão deregistro de pessoa física e/ou juridica no serviço de proteção ao crédito.</v>
          </cell>
          <cell r="F88" t="str">
            <v>Pregão Eletrônico nº 039/2021</v>
          </cell>
          <cell r="G88" t="str">
            <v>62.173.620/0001-80</v>
          </cell>
          <cell r="K88">
            <v>45982</v>
          </cell>
          <cell r="L88">
            <v>2</v>
          </cell>
        </row>
        <row r="89">
          <cell r="A89" t="str">
            <v>043/2025</v>
          </cell>
          <cell r="B89">
            <v>53757.21</v>
          </cell>
          <cell r="C89" t="str">
            <v>DG</v>
          </cell>
          <cell r="D89" t="str">
            <v>CONTROLE SERVIÇOS E COMERCIO DE INFORMÁRICA</v>
          </cell>
          <cell r="E89" t="str">
            <v>Fornecimento com entrega de equipamentos de informática.</v>
          </cell>
          <cell r="F89" t="str">
            <v>Licitação Eletrônica n.º 030/2024-PRL/CAEMA</v>
          </cell>
          <cell r="G89" t="str">
            <v>10.592.584/0002-76</v>
          </cell>
          <cell r="K89">
            <v>45982</v>
          </cell>
          <cell r="L89">
            <v>2</v>
          </cell>
        </row>
        <row r="90">
          <cell r="A90" t="str">
            <v>093/2021</v>
          </cell>
          <cell r="B90">
            <v>309098.40999999997</v>
          </cell>
          <cell r="C90" t="str">
            <v>PR</v>
          </cell>
          <cell r="D90" t="str">
            <v>CHAGAS E RODRIGUES SÁ ADVOCACIA</v>
          </cell>
          <cell r="E90" t="str">
            <v xml:space="preserve"> Contratação de empresa especializada na prestação de contratação dos serviços técnicos especializados de consultoria jurídica administrativa e contenciosa na área de direito ambiental, perante todas as instâncias possíveis do Poder Judiciário, a serem prestados por sociedade de advogados para a Companhia de Saneamento Ambiental do Maranhão, e Superiores.</v>
          </cell>
          <cell r="F90" t="str">
            <v>Pregão Eletrônico nº 001/2021</v>
          </cell>
          <cell r="G90" t="str">
            <v>038.182.248/0001-93</v>
          </cell>
          <cell r="K90">
            <v>45983</v>
          </cell>
          <cell r="L90">
            <v>3</v>
          </cell>
        </row>
        <row r="91">
          <cell r="A91" t="str">
            <v>094/2022</v>
          </cell>
          <cell r="B91">
            <v>4508.8599999999997</v>
          </cell>
          <cell r="C91" t="str">
            <v>DG-LOCAÇÃO</v>
          </cell>
          <cell r="D91" t="str">
            <v>CONCEIÇÃO DE MARIA BASBOSA DE FREITAS (GOV. LUIZ ROCHA)</v>
          </cell>
          <cell r="E91" t="str">
            <v xml:space="preserve">Locação de imóvel para funcionamento do escritório local de Governador Luiz Rocha </v>
          </cell>
          <cell r="F91" t="str">
            <v>Dispensa de Licitação nº 012/2022</v>
          </cell>
          <cell r="G91" t="str">
            <v>977.630.203-34</v>
          </cell>
          <cell r="K91">
            <v>45984</v>
          </cell>
          <cell r="L91">
            <v>4</v>
          </cell>
        </row>
        <row r="92">
          <cell r="A92" t="str">
            <v>044/2025</v>
          </cell>
          <cell r="B92">
            <v>6441653</v>
          </cell>
          <cell r="C92" t="str">
            <v>DE</v>
          </cell>
          <cell r="D92" t="str">
            <v>CAP - PROTENSÃO E CONSTRUÇÕES LTDA</v>
          </cell>
          <cell r="E92" t="str">
            <v>O presente Contrato tem por objeto a contratação de empresa especializada em recuperação de reservatórios, recuperação de ETAS e execução de serviços complementares visando atender à gerência de negócios de Imperatriz, gerência de negócios de Pedreiras, gerência de negócios de presidente Dutra, gerência de negócios de Colinas e gerência de Barreirinhas.</v>
          </cell>
          <cell r="F92" t="str">
            <v>Licitação Eletrônica n. º 034/2024-PRL/CAEMA</v>
          </cell>
          <cell r="G92" t="str">
            <v xml:space="preserve"> 09.624.532/0001-74</v>
          </cell>
          <cell r="K92">
            <v>45987</v>
          </cell>
          <cell r="L92">
            <v>7</v>
          </cell>
        </row>
        <row r="93">
          <cell r="A93" t="str">
            <v>056/2020</v>
          </cell>
          <cell r="B93">
            <v>339956.34</v>
          </cell>
          <cell r="C93" t="str">
            <v>DO</v>
          </cell>
          <cell r="D93" t="str">
            <v>PONTO FORTE CONSTRUÇÕES &amp; EMPREENDIMENTOS</v>
          </cell>
          <cell r="E93" t="str">
            <v>Execução de serviços de coleta, análises físico-químicas e bacteriológicas da água dos sistemas de abastecimento de água operados pela CAEMA</v>
          </cell>
          <cell r="F93" t="str">
            <v>PREGÃO ELETRÔNICO Nº 027/2020
PRE/CAEMA</v>
          </cell>
          <cell r="G93" t="str">
            <v>01.958.324/0001-08</v>
          </cell>
          <cell r="H93" t="str">
            <v>Portaria 255/2025</v>
          </cell>
          <cell r="I93" t="str">
            <v>Karines Gomes Ericeira</v>
          </cell>
          <cell r="J93" t="str">
            <v>Denis Monteiro do Nasc. Jr, Luis Felipe Pontes Silva, José Nilson Coelho Oliveira, Jackeline Cecilia Francos Goiabeira dentre outros...</v>
          </cell>
          <cell r="K93">
            <v>45988</v>
          </cell>
          <cell r="L93">
            <v>8</v>
          </cell>
        </row>
        <row r="94">
          <cell r="A94" t="str">
            <v>073/2024</v>
          </cell>
          <cell r="B94">
            <v>245046.6</v>
          </cell>
          <cell r="C94" t="str">
            <v>DG</v>
          </cell>
          <cell r="D94" t="str">
            <v xml:space="preserve">ATLANTA TURISMO LTDA </v>
          </cell>
          <cell r="E94" t="str">
            <v>Contratação de empresa especializada para reserva, emissão, marcação, remarcação e fornecimento de passagens aéreas nacionais, para atender às necessidades da Companhia de Saneamento Ambiental do Maranhão- CAEMA.</v>
          </cell>
          <cell r="F94" t="str">
            <v>LICITAÇÃO ELETRÔNICA
N° 018/2024</v>
          </cell>
          <cell r="G94" t="str">
            <v>08.022.073/0001-96</v>
          </cell>
          <cell r="K94">
            <v>45990</v>
          </cell>
          <cell r="L94">
            <v>10</v>
          </cell>
        </row>
        <row r="95">
          <cell r="A95" t="str">
            <v>105/2022</v>
          </cell>
          <cell r="B95">
            <v>274645.17</v>
          </cell>
          <cell r="C95" t="str">
            <v>DG</v>
          </cell>
          <cell r="D95" t="str">
            <v>IPNET SERVIÇOS EM NUVEM E DESENVOLVIMENTO DE</v>
          </cell>
          <cell r="E95" t="str">
            <v>Contratação de solução integrada de comunicação corporativa baseada em computação em nuvem(Cloud Computing) incluindo suporte técnico, implantação e treinamento</v>
          </cell>
          <cell r="F95" t="str">
            <v>Adesão a ARP PL  n°039/2021 - BANESE</v>
          </cell>
          <cell r="G95" t="str">
            <v>32.578.382/0001-21</v>
          </cell>
          <cell r="K95">
            <v>45992</v>
          </cell>
          <cell r="L95">
            <v>12</v>
          </cell>
        </row>
        <row r="96">
          <cell r="A96" t="str">
            <v>096/2021</v>
          </cell>
          <cell r="B96">
            <v>9981.61</v>
          </cell>
          <cell r="C96" t="str">
            <v>DG-LOCAÇÃO</v>
          </cell>
          <cell r="D96" t="str">
            <v>JOSÉ OSMAR SILVA (VITÓRIA DO MEARIM)</v>
          </cell>
          <cell r="E96" t="str">
            <v>Contatatato de  locação de imóvel situado na Rua Urbano
Santos, N° 85 — Centro, Município de Vitoria do Mearim/MA, para funcionamento do Escritório Local, com sua vigência de 12 (doze) meses, contados a partir da assinatura do
contrato.</v>
          </cell>
          <cell r="F96" t="str">
            <v>Dispensa de Licitação</v>
          </cell>
          <cell r="G96" t="str">
            <v>158.005.123-53</v>
          </cell>
          <cell r="K96">
            <v>45996</v>
          </cell>
          <cell r="L96">
            <v>16</v>
          </cell>
        </row>
        <row r="97">
          <cell r="A97" t="str">
            <v>057/2020</v>
          </cell>
          <cell r="B97">
            <v>5276122.6399999997</v>
          </cell>
          <cell r="C97" t="str">
            <v>DC</v>
          </cell>
          <cell r="D97" t="str">
            <v>VIACOM NEXT GENERATION COMUNICAÇÃO LTDA -</v>
          </cell>
          <cell r="E97" t="str">
            <v>Contratação de empresa especializada na prestação de serviços de planejamento, desenvolvimento, implantação,customização, integração, operação e gestão para atendimento de consumidores em geral, com cobertura de toda a área de concessão da CAEMA, através do fornecimento de Call Center ativo e receptivo.</v>
          </cell>
          <cell r="F97" t="str">
            <v>PREGÃO ELETRÔNICO Nº 0025/2020 - PRE/CAEMA</v>
          </cell>
          <cell r="G97" t="str">
            <v>6.172.384/0001-06</v>
          </cell>
          <cell r="K97">
            <v>45997</v>
          </cell>
          <cell r="L97">
            <v>17</v>
          </cell>
        </row>
        <row r="98">
          <cell r="A98" t="str">
            <v>070/2024</v>
          </cell>
          <cell r="B98">
            <v>386395.29</v>
          </cell>
          <cell r="C98" t="str">
            <v>DE</v>
          </cell>
          <cell r="D98" t="str">
            <v xml:space="preserve">BATALHA CONSTRUÇÃO LTDA </v>
          </cell>
          <cell r="E98" t="str">
            <v xml:space="preserve">A perfuração de um poço tubular profundo na Comunidade Sarney Costa, na cidade de São Luís-MA. </v>
          </cell>
          <cell r="F98" t="str">
            <v xml:space="preserve">PREGÃO ELETRÔNICO
 Nº 024/2023 </v>
          </cell>
          <cell r="G98" t="str">
            <v>07.908.484/0001-10</v>
          </cell>
          <cell r="K98">
            <v>45999</v>
          </cell>
          <cell r="L98">
            <v>19</v>
          </cell>
        </row>
        <row r="99">
          <cell r="A99" t="str">
            <v>107/2023</v>
          </cell>
          <cell r="B99">
            <v>21375</v>
          </cell>
          <cell r="C99" t="str">
            <v>DG</v>
          </cell>
          <cell r="D99" t="str">
            <v>MASTERPONTO EQUIPAMENTOS E SISTEMAS LTDA</v>
          </cell>
          <cell r="E99" t="str">
            <v>Contratação de empresa especializada para prestação dos serviços de manutenção preventiva e corretiva dos relogios de ponto eletrônico.</v>
          </cell>
          <cell r="F99" t="str">
            <v>DISPENSA DE LICITAÇÃO N° 030/2023</v>
          </cell>
          <cell r="G99" t="str">
            <v>07.652.413/0001-08</v>
          </cell>
          <cell r="K99">
            <v>46004</v>
          </cell>
          <cell r="L99">
            <v>24</v>
          </cell>
        </row>
        <row r="100">
          <cell r="A100" t="str">
            <v>079/2024</v>
          </cell>
          <cell r="B100">
            <v>4500500.5</v>
          </cell>
          <cell r="C100" t="str">
            <v>DO</v>
          </cell>
          <cell r="D100" t="str">
            <v xml:space="preserve">DESTACK SERVIÇOS AMBIENTAIS </v>
          </cell>
          <cell r="E100"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01, CENTRO – SÃO LUÍS/MA</v>
          </cell>
          <cell r="F100" t="str">
            <v>LICITAÇÃO ELETRÔNICA
N° 021/2024</v>
          </cell>
          <cell r="G100" t="str">
            <v>23.682.131/0001-00</v>
          </cell>
          <cell r="K100">
            <v>46009</v>
          </cell>
          <cell r="L100">
            <v>29</v>
          </cell>
        </row>
        <row r="101">
          <cell r="A101" t="str">
            <v>080/2024</v>
          </cell>
          <cell r="B101">
            <v>3730000</v>
          </cell>
          <cell r="C101" t="str">
            <v>DO</v>
          </cell>
          <cell r="D101" t="str">
            <v xml:space="preserve">DESTACK SERVIÇOS AMBIENTAIS </v>
          </cell>
          <cell r="E101"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02 - DISTRITO VINHAIS.</v>
          </cell>
          <cell r="F101" t="str">
            <v>LICITAÇÃO ELETRÔNICA
N° 021/2024</v>
          </cell>
          <cell r="G101" t="str">
            <v>23.682.131/0001-00</v>
          </cell>
          <cell r="K101">
            <v>46009</v>
          </cell>
          <cell r="L101">
            <v>29</v>
          </cell>
        </row>
        <row r="102">
          <cell r="A102" t="str">
            <v>081/2024</v>
          </cell>
          <cell r="B102">
            <v>3407500</v>
          </cell>
          <cell r="C102" t="str">
            <v>DO</v>
          </cell>
          <cell r="D102" t="str">
            <v xml:space="preserve">DESTACK SERVIÇOS AMBIENTAIS </v>
          </cell>
          <cell r="E102"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03, DISTRITO COHAB.</v>
          </cell>
          <cell r="F102" t="str">
            <v>LICITAÇÃO ELETRÔNICA
N° 021/2024</v>
          </cell>
          <cell r="G102" t="str">
            <v>23.682.131/0001-00</v>
          </cell>
          <cell r="K102">
            <v>46009</v>
          </cell>
          <cell r="L102">
            <v>29</v>
          </cell>
        </row>
        <row r="103">
          <cell r="A103" t="str">
            <v>082/2024</v>
          </cell>
          <cell r="B103">
            <v>9445250.5</v>
          </cell>
          <cell r="C103" t="str">
            <v>DO</v>
          </cell>
          <cell r="D103" t="str">
            <v xml:space="preserve">DESTACK SERVIÇOS AMBIENTAIS </v>
          </cell>
          <cell r="E103" t="str">
            <v>Prestação de serviços contínuos de desobstrução e limpeza de redes coletoras, ramais prediais, interceptores, emissários por gravidade, poços de visita,caixas de inspeção, estações elevatórias e estações de tratamento de esgotos dos Sistemas de Esgotamento Sanitário operados pela CAEMA, LOTE 05, REGIÃO METROPOLITANA OCNE.</v>
          </cell>
          <cell r="F103" t="str">
            <v>LICITAÇÃO ELETRÔNICA
N° 021/2024</v>
          </cell>
          <cell r="G103" t="str">
            <v>23.682.131/0001-00</v>
          </cell>
          <cell r="K103">
            <v>46009</v>
          </cell>
          <cell r="L103">
            <v>29</v>
          </cell>
        </row>
        <row r="104">
          <cell r="A104" t="str">
            <v>083/2024</v>
          </cell>
          <cell r="B104">
            <v>3928450.5</v>
          </cell>
          <cell r="C104" t="str">
            <v>DO</v>
          </cell>
          <cell r="D104" t="str">
            <v xml:space="preserve">DESTACK SERVIÇOS AMBIENTAIS </v>
          </cell>
          <cell r="E104"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06, GERÊNCIA DE BARREIRINHAS/MA.</v>
          </cell>
          <cell r="F104" t="str">
            <v>LICITAÇÃO ELETRÔNICA
N° 021/2024</v>
          </cell>
          <cell r="G104" t="str">
            <v>23.682.131/0001-00</v>
          </cell>
          <cell r="K104">
            <v>46009</v>
          </cell>
          <cell r="L104">
            <v>29</v>
          </cell>
        </row>
        <row r="105">
          <cell r="A105" t="str">
            <v>042/2025</v>
          </cell>
          <cell r="B105">
            <v>255675.42</v>
          </cell>
          <cell r="C105" t="str">
            <v>DE</v>
          </cell>
          <cell r="D105" t="str">
            <v>TPF ENGENHARIA LTDA</v>
          </cell>
          <cell r="E105" t="str">
            <v>Contratação de empresa especializada para ELABORAÇÃO DE ESTUDOS DE CONCEPÇÃO, PROJETOS BÁSICO E EXECUTIVO PARA IMPLANTAÇÃO DE DESARENADOR (CAIXA DE AREIA) TIPO CANAL EM CONCRETO, FLUXO HORIZONTAL, DESTINADO A ATENDER A ESTAÇÃO ELEVATÓRIA DE ESGOTOS (EEE) PIMENTA (LOTE 1) E A ESTAÇÃO DE TRATAMENTO DE ESGOTOS (ETE) VINHAIS (LOTE 2).</v>
          </cell>
          <cell r="F105" t="str">
            <v>Licitação Eletrônica n. º 003/2025 - PRL/CAEMA</v>
          </cell>
          <cell r="G105" t="str">
            <v>12.285.441/0001-66</v>
          </cell>
          <cell r="K105">
            <v>46010</v>
          </cell>
          <cell r="L105">
            <v>30</v>
          </cell>
        </row>
        <row r="106">
          <cell r="A106" t="str">
            <v>078/2024</v>
          </cell>
          <cell r="B106">
            <v>47000</v>
          </cell>
          <cell r="C106" t="str">
            <v>DG</v>
          </cell>
          <cell r="D106" t="str">
            <v xml:space="preserve">APLEX DISTRIBUIDORA DE PRODUTOS DE TECNOLOGIA </v>
          </cell>
          <cell r="E106" t="str">
            <v>Contratação de empresa para a prestação de serviço comum, atinente ao fornecimento de 1000 (mil) licenças do Antivírus Kaspersky, para proteção das estações e servidores desta Companhia, com garantia de 01 ano.</v>
          </cell>
          <cell r="F106" t="str">
            <v>DISPENSA DE LICITAÇÃO
N° 039/2024</v>
          </cell>
          <cell r="G106" t="str">
            <v>24.413.094/0001-99</v>
          </cell>
          <cell r="K106">
            <v>46011</v>
          </cell>
          <cell r="L106">
            <v>31</v>
          </cell>
        </row>
        <row r="107">
          <cell r="A107" t="str">
            <v>108/2023</v>
          </cell>
          <cell r="B107">
            <v>622241.38</v>
          </cell>
          <cell r="C107" t="str">
            <v>DO</v>
          </cell>
          <cell r="D107" t="str">
            <v>BAUMINAS QUIMICA N-NE LTDA</v>
          </cell>
          <cell r="E107" t="str">
            <v>Aquisição de 160.000 kg sulfato de aluminio ferroso granulado para uso nos sistemas do Interior-MA</v>
          </cell>
          <cell r="F107" t="str">
            <v>PREGÃO ELETRONICO 068/2022</v>
          </cell>
          <cell r="G107">
            <v>23647365000701</v>
          </cell>
          <cell r="K107">
            <v>46012</v>
          </cell>
          <cell r="L107">
            <v>32</v>
          </cell>
        </row>
        <row r="108">
          <cell r="A108" t="str">
            <v>098/2023</v>
          </cell>
          <cell r="B108">
            <v>948090</v>
          </cell>
          <cell r="C108" t="str">
            <v>DC</v>
          </cell>
          <cell r="D108" t="str">
            <v>SETE OFFICE LTDA</v>
          </cell>
          <cell r="E108" t="str">
            <v xml:space="preserve"> Contratação de empresa especializada em produção gráfica de contas/faturas ou documentos similares para a notificação dos clientes da CAEMA</v>
          </cell>
          <cell r="F108" t="str">
            <v>PREGÃO ELETRONICO 019/2023</v>
          </cell>
          <cell r="G108">
            <v>26477376000185</v>
          </cell>
          <cell r="K108">
            <v>46014</v>
          </cell>
          <cell r="L108">
            <v>34</v>
          </cell>
        </row>
        <row r="109">
          <cell r="A109" t="str">
            <v>084/2024</v>
          </cell>
          <cell r="B109">
            <v>3457882.78</v>
          </cell>
          <cell r="C109" t="str">
            <v>DO</v>
          </cell>
          <cell r="D109" t="str">
            <v xml:space="preserve">GOLDMAN SOLUÇÕES EM SANEAMENTO LTDA </v>
          </cell>
          <cell r="E109" t="str">
            <v>Prestação de serviços contínuos de desobstrução e limpeza de redes coletoras, ramais prediais, interceptores, emissários por gravidade, poços de visita, caixas de inspeção, estações elevatórias e estações de tratamento de esgotos dos Sistemas de Esgotamento Sanitário operados pela CAEMA, LOTE 04, DISTRITO CIDADE OPERÁRIA/MA</v>
          </cell>
          <cell r="F109" t="str">
            <v>LICITAÇÃO ELETRÔNICA
N° 021/2024</v>
          </cell>
          <cell r="G109" t="str">
            <v>17.405.787/0001-74</v>
          </cell>
          <cell r="K109">
            <v>46021</v>
          </cell>
          <cell r="L109">
            <v>41</v>
          </cell>
        </row>
        <row r="110">
          <cell r="A110" t="str">
            <v>066/2020</v>
          </cell>
          <cell r="B110">
            <v>268681.75</v>
          </cell>
          <cell r="C110" t="str">
            <v>DG</v>
          </cell>
          <cell r="D110" t="str">
            <v>HAPVIDA ASSISTÊNCIA MÉDICA LTDA</v>
          </cell>
          <cell r="E110" t="str">
            <v>A prestação de serviços de assistência odontológica, para atender aos empregados da CAEMA e dependentes, com cobertura eletiva, envolvendo todos os meios de diagnóstico e tratamento em São Luís e em 9 (nove) Gerencias regio-nais, de forma integral, através de rede própria e/ou credenciada, e de urgência e/ou emergência em todo território nacional</v>
          </cell>
          <cell r="F110" t="str">
            <v>PREGÃO ELETRÔNICO Nº 031/2020/PRE/CAEMA</v>
          </cell>
          <cell r="G110" t="str">
            <v>63.554.067/0001-98</v>
          </cell>
          <cell r="K110">
            <v>46027</v>
          </cell>
          <cell r="L110">
            <v>47</v>
          </cell>
        </row>
        <row r="111">
          <cell r="A111" t="str">
            <v>112/2023</v>
          </cell>
          <cell r="B111">
            <v>12960</v>
          </cell>
          <cell r="C111" t="str">
            <v>DO</v>
          </cell>
          <cell r="D111" t="str">
            <v>JOÃO LUIZ DE ARAUJO MOTA (SUCUPIRA DO RIACHÃO)</v>
          </cell>
          <cell r="E111" t="str">
            <v>A Locatária recebe  em locação o imóvel situado na rua Grande, N°537, Centro, no Município de Sucupira do Riachão/MA</v>
          </cell>
          <cell r="F111" t="str">
            <v>DISPENSA DE LICITAÇÃO N° 033/2023</v>
          </cell>
          <cell r="G111" t="str">
            <v>258.088.001.10</v>
          </cell>
          <cell r="K111">
            <v>46035</v>
          </cell>
          <cell r="L111">
            <v>55</v>
          </cell>
        </row>
        <row r="112">
          <cell r="A112" t="str">
            <v>022/2024</v>
          </cell>
          <cell r="B112">
            <v>17881.080000000002</v>
          </cell>
          <cell r="C112" t="str">
            <v>DO</v>
          </cell>
          <cell r="D112" t="str">
            <v xml:space="preserve">DINALAB COMÉRCIO E SERVIÇOS LTDA </v>
          </cell>
          <cell r="E112" t="str">
            <v>Aquisição de equipamentos, materiais e reagentes para uso no laboratório da Ete Vinhais, para realização do controle de qualidade dos efluentes das estações de tratamento de esgoto de São Luís e interior-MA</v>
          </cell>
          <cell r="F112" t="str">
            <v>PREGÃO ELETRÔNICO 040/2023</v>
          </cell>
          <cell r="G112" t="str">
            <v>32.578.926./0001-55</v>
          </cell>
          <cell r="K112">
            <v>46036</v>
          </cell>
          <cell r="L112">
            <v>56</v>
          </cell>
        </row>
        <row r="113">
          <cell r="A113" t="str">
            <v>044/2020</v>
          </cell>
          <cell r="B113">
            <v>37019851.390000001</v>
          </cell>
          <cell r="C113" t="str">
            <v>DG</v>
          </cell>
          <cell r="D113" t="str">
            <v>SODEXO PASS DO BRASIL SERVIÇOS E COMERCIO S.A</v>
          </cell>
          <cell r="E113" t="str">
            <v xml:space="preserve"> Contratação de empresa especializada na administração, gerenciamento, emissão, distribuição e fornecimento de Vale Alimentação e Vale Refeição</v>
          </cell>
          <cell r="F113" t="str">
            <v>Pregão Eletronicoº 024/2020 - PRE/CAEMA</v>
          </cell>
          <cell r="G113" t="str">
            <v>69.034.668/0001-56</v>
          </cell>
          <cell r="K113">
            <v>46040</v>
          </cell>
          <cell r="L113">
            <v>60</v>
          </cell>
        </row>
        <row r="114">
          <cell r="A114" t="str">
            <v>003/2025</v>
          </cell>
          <cell r="B114">
            <v>531600</v>
          </cell>
          <cell r="C114" t="str">
            <v>PR</v>
          </cell>
          <cell r="D114" t="str">
            <v>THIAGO DIAZ ADVOGADOS ASSOCIADOS</v>
          </cell>
          <cell r="E114" t="str">
            <v>Contratação de empresa especializada na prestação de
serviços técnicos especializados de consultoria jurídica preventiva, administrativa e
contenciosa nas áreas de direito civil, consumidor, administrativa, tributária, penal, societária e regulatória,
judiciais e extrajudiciais, perante todas as instâncias dos Tribunais Estaduais, Federais, e Superiores,
inclusive Juizados Especiais Cíveis e Criminais, a serem prestados por sociedade de advogados para a
Companhia de Saneamento Ambiental do Maranhão - CAEMA</v>
          </cell>
          <cell r="F114" t="str">
            <v>INEXIGIBILIDADE DE LICITAÇÃO
N° 001/2025</v>
          </cell>
          <cell r="G114" t="str">
            <v>26.617.793/0001-86</v>
          </cell>
          <cell r="K114">
            <v>46043</v>
          </cell>
          <cell r="L114">
            <v>63</v>
          </cell>
        </row>
        <row r="115">
          <cell r="A115" t="str">
            <v>001/2024</v>
          </cell>
          <cell r="B115">
            <v>97901.16</v>
          </cell>
          <cell r="C115" t="str">
            <v>DG</v>
          </cell>
          <cell r="D115" t="str">
            <v>EMPRESA METODO TELECOMUNICAÇÕES E COMÉRCIO LTDA</v>
          </cell>
          <cell r="E115" t="str">
            <v>Prestação de serviços de telefonia VOIP (PABX CLOUD)</v>
          </cell>
          <cell r="F115" t="str">
            <v>PREGÃO ELETRONICO 035/2023</v>
          </cell>
          <cell r="G115" t="str">
            <v>65295172000185</v>
          </cell>
          <cell r="K115">
            <v>46046</v>
          </cell>
          <cell r="L115">
            <v>66</v>
          </cell>
        </row>
        <row r="116">
          <cell r="A116" t="str">
            <v>001/2021</v>
          </cell>
          <cell r="B116">
            <v>864000</v>
          </cell>
          <cell r="C116" t="str">
            <v>DG</v>
          </cell>
          <cell r="D116" t="str">
            <v>SINDICATO DAS EMPRESAS DE TRANSPORTES - SET</v>
          </cell>
          <cell r="E116" t="str">
            <v xml:space="preserve">Contratação de empresa para prestação dos serviços de fornecimento de vale transporte eletrônico aos empregados pelo período de 12 (doze) meses, pelo valor estimado mensal R$ 85.746,70 (oitenta e inco mil setecentos e quarenta e seis reais e setenta centavos) e pelo valor anual R$ 1.028.960,40 (um milhão vinte e oito mil novecentos e sessenta reais e quarenta centavos). </v>
          </cell>
          <cell r="F116" t="str">
            <v>Inexigibilidade de Licitação</v>
          </cell>
          <cell r="G116" t="str">
            <v>05.750.146/0001-78</v>
          </cell>
          <cell r="K116">
            <v>46046</v>
          </cell>
          <cell r="L116">
            <v>66</v>
          </cell>
        </row>
        <row r="117">
          <cell r="A117" t="str">
            <v>006/2024</v>
          </cell>
          <cell r="B117">
            <v>1343496</v>
          </cell>
          <cell r="C117" t="str">
            <v>DG</v>
          </cell>
          <cell r="D117" t="str">
            <v>MARANHÃO PARCERIAS MAPA</v>
          </cell>
          <cell r="E117" t="str">
            <v xml:space="preserve">Gerenciamento de prestação dos serviços continuados de vigilância eletrônica monitorada à distância, em regime de comodato, contemplando o fornecimento de todos os equipamentos, materiais e mão de obra para a implantação/instalação, manutenção preventiva e corretiva e o monitoramento a distância
</v>
          </cell>
          <cell r="F117" t="str">
            <v xml:space="preserve">DISPENSA DE LICITAÇÃO  N° </v>
          </cell>
          <cell r="G117" t="str">
            <v>06281794000195</v>
          </cell>
          <cell r="K117">
            <v>46054</v>
          </cell>
          <cell r="L117">
            <v>74</v>
          </cell>
        </row>
        <row r="118">
          <cell r="A118" t="str">
            <v>102/2021</v>
          </cell>
          <cell r="B118">
            <v>2724973.16</v>
          </cell>
          <cell r="C118" t="str">
            <v>DO</v>
          </cell>
          <cell r="D118" t="str">
            <v>INNOVATIVE WATER CARE INDUSTRIA E COMÉRCIO</v>
          </cell>
          <cell r="E118" t="str">
            <v>Aquisição de Hipoclorito de Cálcio em Tablete e Hipoclorito de Cálcio Granulado, para uso como agente de desinfecção no processo de tratamento da água dos Poços Tubulares Profundos, destinada ao consumo humano e na desinfecção de ETA’s e Redes de Distribuição de Água, com fornecimento de equipamentos em regime de comodato.</v>
          </cell>
          <cell r="F118" t="str">
            <v>Pregão Eletrônico nº 078/2021</v>
          </cell>
          <cell r="G118" t="str">
            <v>43.677.178/0010-75</v>
          </cell>
          <cell r="K118">
            <v>46063</v>
          </cell>
          <cell r="L118">
            <v>83</v>
          </cell>
        </row>
        <row r="119">
          <cell r="A119" t="str">
            <v>010/2022</v>
          </cell>
          <cell r="B119">
            <v>3002752.69</v>
          </cell>
          <cell r="C119" t="str">
            <v>DO</v>
          </cell>
          <cell r="D119" t="str">
            <v>CIANO SOLUÇÕES AMBIENTAIS</v>
          </cell>
          <cell r="E119" t="str">
            <v>Contratação de empresa especializada para execução de serviços de coleta/retirada, transporte e destinação de lodo e materiais provenientes das estações de tratamento de esgoto – ETE’s – de São Luís/MA operadas pela Companhia de Saneamento Ambiental do Maranhão (CAEMA)</v>
          </cell>
          <cell r="F119" t="str">
            <v>Pregão Eletrônico nº 096/2021</v>
          </cell>
          <cell r="G119" t="str">
            <v>15.581.636/0002-22</v>
          </cell>
          <cell r="K119">
            <v>46066</v>
          </cell>
          <cell r="L119">
            <v>86</v>
          </cell>
        </row>
        <row r="120">
          <cell r="A120" t="str">
            <v>CV 001/2023</v>
          </cell>
          <cell r="C120" t="str">
            <v>DG</v>
          </cell>
          <cell r="D120" t="str">
            <v>SERVIÇO NACIONAL DE APREDIZAGEM INDUSTRIAL - SENAI</v>
          </cell>
          <cell r="E120" t="str">
            <v>Parceria entre a CAEMA e o SENAI para o desenvolvimento do Programa Jovem Aprendiz da CAEMA</v>
          </cell>
          <cell r="F120" t="str">
            <v>CONVÊNIO</v>
          </cell>
          <cell r="G120" t="str">
            <v>03.755.543/000179</v>
          </cell>
          <cell r="K120">
            <v>46068</v>
          </cell>
          <cell r="L120">
            <v>88</v>
          </cell>
        </row>
        <row r="121">
          <cell r="A121" t="str">
            <v>006/2021</v>
          </cell>
          <cell r="B121">
            <v>2902684.55</v>
          </cell>
          <cell r="C121" t="str">
            <v>DO</v>
          </cell>
          <cell r="D121" t="str">
            <v>MVDC EMPREENDIMENTOS LTDA</v>
          </cell>
          <cell r="E121" t="str">
            <v>Prestação de serviços comuns de engenharia de recuperação de pavimentação asfáltica em vias públicas na cidade de São Luis — MA</v>
          </cell>
          <cell r="F121" t="str">
            <v>Pregão Eletrônico nº 037/2020 - PRE/CAEMA</v>
          </cell>
          <cell r="G121" t="str">
            <v>6.746.084/0001-09</v>
          </cell>
          <cell r="K121">
            <v>46069</v>
          </cell>
          <cell r="L121">
            <v>89</v>
          </cell>
        </row>
        <row r="122">
          <cell r="A122" t="str">
            <v>040/2025</v>
          </cell>
          <cell r="B122">
            <v>635535.74</v>
          </cell>
          <cell r="C122" t="str">
            <v>DE</v>
          </cell>
          <cell r="D122" t="str">
            <v>HIDREL ENGENHARIA LTDA</v>
          </cell>
          <cell r="E122" t="str">
            <v>Perfuração de 01 (um) poço tubular profundo, no município de Paraibano/MA.</v>
          </cell>
          <cell r="F122" t="str">
            <v>Pregão Eletrônico N.º 024/2023-PRE/CAEMA</v>
          </cell>
          <cell r="G122" t="str">
            <v>73.864.233/0001-06</v>
          </cell>
          <cell r="K122">
            <v>46071</v>
          </cell>
          <cell r="L122">
            <v>91</v>
          </cell>
        </row>
        <row r="123">
          <cell r="A123" t="str">
            <v>081/2023</v>
          </cell>
          <cell r="B123">
            <v>20625708.079999998</v>
          </cell>
          <cell r="C123" t="str">
            <v>DE</v>
          </cell>
          <cell r="D123" t="str">
            <v>QUALITECH ENGENHARIA LTDA</v>
          </cell>
          <cell r="E123" t="str">
            <v>Execução de obras e serviço de conclusão de implementação e ampliação do Sistema de esgotamento de Sanitário de São Luís MA Etapa 1 - Sistema Vinhais (PAC1)</v>
          </cell>
          <cell r="F123" t="str">
            <v>DISPENSA DE LICITAÇÃO N° 022/2023</v>
          </cell>
          <cell r="G123" t="str">
            <v>69.388.361/0001-53</v>
          </cell>
          <cell r="K123">
            <v>46073</v>
          </cell>
          <cell r="L123">
            <v>93</v>
          </cell>
        </row>
        <row r="124">
          <cell r="A124" t="str">
            <v>008/2025</v>
          </cell>
          <cell r="B124">
            <v>1643564</v>
          </cell>
          <cell r="C124" t="str">
            <v>DG</v>
          </cell>
          <cell r="D124" t="str">
            <v>AROMA E SABOR ALIMENTOS</v>
          </cell>
          <cell r="E124" t="str">
            <v>Contratação de empresa especializada em fornecimento de refeições, compreendendo preparação, transporte e distribuição, fornecimento de insumos (gêneros alimentícios, materiais de limpeza e descartáveis), higienização de utensílios, equipamentos, dedetização da área física, manutenção corretiva e preventiva de equipamentos.</v>
          </cell>
          <cell r="F124" t="str">
            <v>LICITAÇÃO ELETRÔNICA
N° 032/2024</v>
          </cell>
          <cell r="G124" t="str">
            <v>13.386.808/0001-09</v>
          </cell>
          <cell r="H124" t="str">
            <v>Portaria 364/2025</v>
          </cell>
          <cell r="I124" t="str">
            <v>Adonias Lima Coelho</v>
          </cell>
          <cell r="J124" t="str">
            <v>Tanilse de Fatima Moraes Lima</v>
          </cell>
          <cell r="K124">
            <v>46073</v>
          </cell>
          <cell r="L124">
            <v>93</v>
          </cell>
        </row>
        <row r="125">
          <cell r="A125" t="str">
            <v>017/2022</v>
          </cell>
          <cell r="B125" t="str">
            <v>240.00,00</v>
          </cell>
          <cell r="C125" t="str">
            <v>PR</v>
          </cell>
          <cell r="D125" t="str">
            <v>PIRES E MENEZES SOARES ADVOGADOS</v>
          </cell>
          <cell r="E125" t="str">
            <v>Contratação de serviços técnicos especializados de consultoria juridica preventiva,administrativa e contenciosa nas áreas de direito trabalhista e previdenciário,perante todas as instancias dos Tribunais Regionais e Superioresa serem prestados por sociedade de advogados para CAEMA</v>
          </cell>
          <cell r="F125" t="str">
            <v>Pregão Presencialnº 003/2021</v>
          </cell>
          <cell r="G125" t="str">
            <v>21.573.226/0001-51</v>
          </cell>
          <cell r="K125">
            <v>46077</v>
          </cell>
          <cell r="L125">
            <v>97</v>
          </cell>
        </row>
        <row r="126">
          <cell r="A126" t="str">
            <v>012/2025</v>
          </cell>
          <cell r="B126">
            <v>9091970</v>
          </cell>
          <cell r="C126" t="str">
            <v>DO</v>
          </cell>
          <cell r="D126" t="str">
            <v>ORIONSISTEM EQUIPAMENTOS INDUSTRIAIS LTDA</v>
          </cell>
          <cell r="E126" t="str">
            <v>Contratação de empresa especializada para execução de serviços de manutenção de redes, ramais prediais e pequenas ampliações de redes dos Sistemas de Abastecimento de Água da cidade de Imperatriz-MA.</v>
          </cell>
          <cell r="F126" t="str">
            <v>LICITAÇÃO ELETRÔNICA
N° 033/2024 - PRL/CAEMA</v>
          </cell>
          <cell r="G126" t="str">
            <v>04539534/0001-41</v>
          </cell>
          <cell r="K126">
            <v>46087</v>
          </cell>
          <cell r="L126">
            <v>107</v>
          </cell>
        </row>
        <row r="127">
          <cell r="A127" t="str">
            <v>012/2021</v>
          </cell>
          <cell r="B127">
            <v>112126.72</v>
          </cell>
          <cell r="C127" t="str">
            <v>DG</v>
          </cell>
          <cell r="D127" t="str">
            <v>AUDILINK &amp; CIA AUDITORES</v>
          </cell>
          <cell r="E127" t="str">
            <v>Contratação de empresa especializada para a prestação de serviços de auditoria independente nas demonstrações contábeis da Companhia de Saneamento Ambiental do Maranhão — CAEMA para o exercício a findar-se em 31 de dezembro de 2020 e os 03 (três) primeiros trimestres de 2021</v>
          </cell>
          <cell r="F127" t="str">
            <v>Pregão Eletrônico nº° 001/2021 - PRE/CAEMA</v>
          </cell>
          <cell r="G127" t="str">
            <v>02.163.575/0012-03</v>
          </cell>
          <cell r="K127">
            <v>46090</v>
          </cell>
          <cell r="L127">
            <v>110</v>
          </cell>
        </row>
        <row r="128">
          <cell r="A128" t="str">
            <v>001/2024</v>
          </cell>
          <cell r="C128" t="str">
            <v>TCT - DG</v>
          </cell>
          <cell r="D128" t="str">
            <v>FÁCIL SOLUÇÕES TECNOLÓGICAS EM INFORMÁTICA S/A</v>
          </cell>
          <cell r="E128" t="str">
            <v>Prestação de serviços de telefonia VOIP (PABX CLOUD)</v>
          </cell>
          <cell r="F128" t="str">
            <v>PREGÃO ELETRONICO 035/2023</v>
          </cell>
          <cell r="G128" t="str">
            <v>65295172000185</v>
          </cell>
          <cell r="K128">
            <v>46046</v>
          </cell>
          <cell r="L128">
            <v>66</v>
          </cell>
        </row>
        <row r="129">
          <cell r="A129" t="str">
            <v>014/2025</v>
          </cell>
          <cell r="B129">
            <v>1020000</v>
          </cell>
          <cell r="C129" t="str">
            <v>DO</v>
          </cell>
          <cell r="D129" t="str">
            <v>N DA P SANTOS AMORIM AUTO PEÇAS</v>
          </cell>
          <cell r="E129" t="str">
            <v xml:space="preserve"> 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01 – SÃO LUÍS).</v>
          </cell>
          <cell r="F129" t="str">
            <v>Licitação Eletrônica n. º 025/2024 - PRL/CAEMA</v>
          </cell>
          <cell r="G129" t="str">
            <v>27.428.840/0001-06</v>
          </cell>
          <cell r="K129">
            <v>46101</v>
          </cell>
          <cell r="L129">
            <v>121</v>
          </cell>
        </row>
        <row r="130">
          <cell r="A130" t="str">
            <v>015/2025</v>
          </cell>
          <cell r="B130">
            <v>1000000</v>
          </cell>
          <cell r="C130" t="str">
            <v>DO</v>
          </cell>
          <cell r="D130" t="str">
            <v>N DA P SANTOS AMORIM AUTO PEÇAS</v>
          </cell>
          <cell r="E130" t="str">
            <v>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02 - ITAPECURU MIRIM, BARREIRINHAS, CHAPADINHA E COROATÁ)</v>
          </cell>
          <cell r="F130" t="str">
            <v xml:space="preserve"> Licitação Eletrônica n. º 025/2024- PRL/CAEMA</v>
          </cell>
          <cell r="G130" t="str">
            <v>27.428.840/0001-06</v>
          </cell>
          <cell r="K130">
            <v>46101</v>
          </cell>
          <cell r="L130">
            <v>121</v>
          </cell>
        </row>
        <row r="131">
          <cell r="A131" t="str">
            <v>016/2025</v>
          </cell>
          <cell r="B131">
            <v>955000</v>
          </cell>
          <cell r="C131" t="str">
            <v>DO</v>
          </cell>
          <cell r="D131" t="str">
            <v>N DA P SANTOS AMORIM AUTO PEÇAS</v>
          </cell>
          <cell r="E131" t="str">
            <v>O presente Contrato tem por objeto a contratação de serviços contínuos de manutenção preventiva e corretiva de conjuntos motobombas (CMB) de esgoto, tipo submersíveis, trifásicos, 380V, 60Hz, com fornecimento de peças e materiais, conforme especificações, quantitativos e condições do Termo de Referência, Anexo I do Edital. (LOTE 03 – IMPERATRIZ).</v>
          </cell>
          <cell r="F131" t="str">
            <v xml:space="preserve"> Licitação Eletrônica n. º 025/2024- PRL/CAEMA</v>
          </cell>
          <cell r="G131" t="str">
            <v>27.428.840/0001-07</v>
          </cell>
          <cell r="K131">
            <v>46101</v>
          </cell>
          <cell r="L131">
            <v>121</v>
          </cell>
        </row>
        <row r="132">
          <cell r="A132" t="str">
            <v>006/2023</v>
          </cell>
          <cell r="C132" t="str">
            <v>DG</v>
          </cell>
          <cell r="D132" t="str">
            <v>PAGPLAN SERVIÇOS DE TECNOLOGIA EM PAGAMENTOS LTDA</v>
          </cell>
          <cell r="E132" t="str">
            <v>Credenciarnento de empresa especializada, adquirente ou subadquirente, para prestação de serviços na modalidade de licenciamento e fornecimento de gateway de pagamentos para prover aos clientes CAEMA o meio de pagamentos on-line, por meio eletrônico, que possibilite realizar a captura, roteamento, transmissão e processamento de transações financeiras com cartões de crédito e débito, à vista e parcelados, para operações de pagamento oriundos das contas de consumo, multas e demais taxas devidas de recebiveis dos Clientes desta Companhia</v>
          </cell>
          <cell r="F132" t="str">
            <v>CREDENCIAMENTO N° 001/2019</v>
          </cell>
          <cell r="G132" t="str">
            <v>37.224.002/0001-74</v>
          </cell>
          <cell r="K132">
            <v>46105</v>
          </cell>
          <cell r="L132">
            <v>125</v>
          </cell>
        </row>
        <row r="133">
          <cell r="A133" t="str">
            <v>024/2022</v>
          </cell>
          <cell r="B133">
            <v>94141.05</v>
          </cell>
          <cell r="C133" t="str">
            <v>DE</v>
          </cell>
          <cell r="D133" t="str">
            <v>MAPDATA TECNOLOGIA INFORMÁTICA E COMÉRCIO</v>
          </cell>
          <cell r="E133" t="str">
            <v>Aquisição de licenças (assinaturas) de uso de softwares autodesck, versão 2022 ou superior com transferência de conhecimento tecnologico,para implantação da metodologia BIM</v>
          </cell>
          <cell r="F133" t="str">
            <v>Adesão a ARP nº 02/2021/COSANPA.  (CARONA)</v>
          </cell>
          <cell r="G133" t="str">
            <v>66.582.784/0001-11</v>
          </cell>
          <cell r="K133">
            <v>46105</v>
          </cell>
          <cell r="L133">
            <v>125</v>
          </cell>
        </row>
        <row r="134">
          <cell r="A134" t="str">
            <v>008/2023</v>
          </cell>
          <cell r="B134">
            <v>11110.92</v>
          </cell>
          <cell r="C134" t="str">
            <v>DG-LOCAÇÃO</v>
          </cell>
          <cell r="D134" t="str">
            <v>KELLY ANNE LIMA FERREIRA (DAVINOPOLIS)</v>
          </cell>
          <cell r="E134" t="str">
            <v>Locação o imóvel para funcionamento do Escritório Local no Município de DAVINÓPOLIS/MA</v>
          </cell>
          <cell r="F134" t="str">
            <v>DISPENSA DE LICITAÇÃO  N° 04/2023</v>
          </cell>
          <cell r="G134" t="str">
            <v xml:space="preserve"> 009.431.743-76</v>
          </cell>
          <cell r="K134">
            <v>46107</v>
          </cell>
          <cell r="L134">
            <v>127</v>
          </cell>
        </row>
        <row r="135">
          <cell r="A135" t="str">
            <v>014/2023</v>
          </cell>
          <cell r="B135">
            <v>11110.92</v>
          </cell>
          <cell r="C135" t="str">
            <v>DG-LOCAÇÃO</v>
          </cell>
          <cell r="D135" t="str">
            <v>APARECIDA MARIA DE SOUZA SILVA (SÃO PEDRO DA AGUA BRANCA)</v>
          </cell>
          <cell r="E135" t="str">
            <v>Locação de imóvel para funcionamento do Escritório Local no Município de SÃO PEDRO DA ÁGUA BRANCA/MA.</v>
          </cell>
          <cell r="F135" t="str">
            <v>DISPENSA DE LICITAÇÃO  N° 003/2023</v>
          </cell>
          <cell r="G135" t="str">
            <v>302.490.312-72</v>
          </cell>
          <cell r="K135">
            <v>46110</v>
          </cell>
          <cell r="L135">
            <v>130</v>
          </cell>
        </row>
        <row r="136">
          <cell r="A136" t="str">
            <v>023/2022</v>
          </cell>
          <cell r="B136">
            <v>14504.42</v>
          </cell>
          <cell r="C136" t="str">
            <v>DG</v>
          </cell>
          <cell r="D136" t="str">
            <v>PRIME CONSTRUÇÕES E SERVIÇOS EIRELI</v>
          </cell>
          <cell r="E136" t="str">
            <v>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em IMPERATRIZ (LOTE 02)</v>
          </cell>
          <cell r="F136" t="str">
            <v>Pregão Eletrônico n.° 083/2021</v>
          </cell>
          <cell r="G136" t="str">
            <v>04.365.758/0001-84</v>
          </cell>
          <cell r="K136">
            <v>46110</v>
          </cell>
          <cell r="L136">
            <v>130</v>
          </cell>
        </row>
        <row r="137">
          <cell r="A137" t="str">
            <v>010/2023</v>
          </cell>
          <cell r="B137">
            <v>9947.0400000000009</v>
          </cell>
          <cell r="C137" t="str">
            <v>DG-LOCAÇÃO</v>
          </cell>
          <cell r="D137" t="str">
            <v>MARIA DOS AFLITOS VIANA (SANTA QUITERIA)</v>
          </cell>
          <cell r="E137" t="str">
            <v>Locação de imóvel para funcionamento do Escritório Local no Município de Santa Quitéria/MA</v>
          </cell>
          <cell r="F137" t="str">
            <v>DISPENSA DE LICITAÇÃO  N° 05/2023</v>
          </cell>
          <cell r="G137" t="str">
            <v>471.421.623-68</v>
          </cell>
          <cell r="K137">
            <v>46110</v>
          </cell>
          <cell r="L137">
            <v>130</v>
          </cell>
        </row>
        <row r="138">
          <cell r="A138" t="str">
            <v>011/2023</v>
          </cell>
          <cell r="B138">
            <v>17407.2</v>
          </cell>
          <cell r="C138" t="str">
            <v>DG-LOCAÇÃO</v>
          </cell>
          <cell r="D138" t="str">
            <v>OSMARINA GOMES DUARTE (AFONSO CUNHA)</v>
          </cell>
          <cell r="E138" t="str">
            <v>Locação o imóvel para funcionamento do Escritório Local no Município de AFONSO CUNHA/MA</v>
          </cell>
          <cell r="F138" t="str">
            <v>DISPENSA DE LICITAÇÃO  N° 02/2023</v>
          </cell>
          <cell r="G138" t="str">
            <v>449.297.573-04</v>
          </cell>
          <cell r="K138">
            <v>46110</v>
          </cell>
          <cell r="L138">
            <v>130</v>
          </cell>
        </row>
        <row r="139">
          <cell r="A139" t="str">
            <v>022/2022</v>
          </cell>
          <cell r="B139">
            <v>1346047.85</v>
          </cell>
          <cell r="C139" t="str">
            <v>DG</v>
          </cell>
          <cell r="D139" t="str">
            <v>MALKA SERVICE LTDA EPP</v>
          </cell>
          <cell r="E139" t="str">
            <v>Contratação de empresa especializada para prestação de serviços de limpeza, conservação e higienização  de áreas internas e externas nas instalações físicas e mobiliárias como também equipamentos adequados àexecução dos trabalhos, nointuito de obter condições adequadas de salubridade e higiene nas dependências dos prédios da CAEMA, localizados na capital ITALUIS - LOTE 01</v>
          </cell>
          <cell r="F139" t="str">
            <v>Pregão Eletrônico n.° 083/2021</v>
          </cell>
          <cell r="G139" t="str">
            <v>24.891.740/0001-23</v>
          </cell>
          <cell r="K139">
            <v>46112</v>
          </cell>
          <cell r="L139">
            <v>132</v>
          </cell>
        </row>
        <row r="140">
          <cell r="A140" t="str">
            <v>001/2022</v>
          </cell>
          <cell r="B140">
            <v>3822897.1</v>
          </cell>
          <cell r="C140" t="str">
            <v>DG</v>
          </cell>
          <cell r="D140" t="str">
            <v>PD CASE/RAS INFORMÁTICA LTDA</v>
          </cell>
          <cell r="E140" t="str">
            <v>GARANTIA CONTRATUAL: n. 0306920229907750691792000</v>
          </cell>
          <cell r="F140" t="str">
            <v>GARANTIA CONTRATUAL</v>
          </cell>
          <cell r="G140" t="str">
            <v>38.519.484/0001-52</v>
          </cell>
          <cell r="K140">
            <v>46119</v>
          </cell>
          <cell r="L140">
            <v>139</v>
          </cell>
        </row>
        <row r="141">
          <cell r="A141" t="str">
            <v>030/2025</v>
          </cell>
          <cell r="B141">
            <v>5946189</v>
          </cell>
          <cell r="C141" t="str">
            <v>DG</v>
          </cell>
          <cell r="D141" t="str">
            <v>MARANHÃO PARCERIAS MAPA</v>
          </cell>
          <cell r="E141" t="str">
            <v xml:space="preserve">  Contratação da MARANHÃO PARCERIAS - MAPA para o gerenciamento de 25 (vinte e cinco) postos de trabalho de vigilância desarmada, abrangendo turnos diurnos e noturnos, em regime contínuo, incluindo o fornecimento de todos os insumos, acessórios e equipamentos necessários, de forma a atender a necessidade da Companhia de Saneamento Ambiental do Maranhão - CAEMA em unidades localizadas em São Luís; nas Gerências de Serviços e Negócios de Pinheiro, Barreirinhas, Chapadinha, Pedreiras, Colinas, Santa Inês, Imperatriz, Itapecuru Mirim e Presidente Dutra; nas Coordenadorias Especiais de Coroatá, São João dos Patos, São Raimundo das Mangabeiras</v>
          </cell>
          <cell r="F141" t="str">
            <v>DISPENSA DE LICITAÇÃO</v>
          </cell>
          <cell r="G141" t="str">
            <v>06.281.794/0001-95</v>
          </cell>
          <cell r="K141">
            <v>46122</v>
          </cell>
          <cell r="L141">
            <v>142</v>
          </cell>
        </row>
        <row r="142">
          <cell r="A142" t="str">
            <v>024/2023</v>
          </cell>
          <cell r="B142">
            <v>3265952.68</v>
          </cell>
          <cell r="C142" t="str">
            <v>DO</v>
          </cell>
          <cell r="D142" t="str">
            <v>SÓ POÇOS CONSTRUÇÕES EIRELI</v>
          </cell>
          <cell r="E142" t="str">
            <v>Serviços específicos de engenharia e hidrogeologia para manutenção e reabilitação de poços tubulares profundos operados pela CAEMA em Imperatriz/MA</v>
          </cell>
          <cell r="F142" t="str">
            <v>Pregão Eletrõnico n° 037/2022</v>
          </cell>
          <cell r="G142" t="str">
            <v>06.922.664/0001-94</v>
          </cell>
          <cell r="K142">
            <v>46125</v>
          </cell>
          <cell r="L142">
            <v>145</v>
          </cell>
        </row>
        <row r="143">
          <cell r="A143" t="str">
            <v>031/2025</v>
          </cell>
          <cell r="B143">
            <v>207320</v>
          </cell>
          <cell r="C143" t="str">
            <v>DG</v>
          </cell>
          <cell r="D143" t="str">
            <v>MIRAINOX LTDA</v>
          </cell>
          <cell r="E143" t="str">
            <v>O presente Contrato tem por objeto a aquisição de equipamentos e materiais, como a máquina envasadora, mesa acumuladora para envasar água mineral/tratada em copos, compatíveis com 200 até 300ml, com capacidade de produção de 2.500 a 3.100 unid/hora</v>
          </cell>
          <cell r="F143" t="str">
            <v>Licitação Eletrônica n.º 002/2025-PRL/CAEMA</v>
          </cell>
          <cell r="G143" t="str">
            <v>02.627.690/0001-39</v>
          </cell>
          <cell r="K143">
            <v>46128</v>
          </cell>
          <cell r="L143">
            <v>148</v>
          </cell>
        </row>
        <row r="144">
          <cell r="A144" t="str">
            <v>032/2025</v>
          </cell>
          <cell r="B144">
            <v>109780</v>
          </cell>
          <cell r="C144" t="str">
            <v>DG</v>
          </cell>
          <cell r="D144" t="str">
            <v>RD COMERCIAL</v>
          </cell>
          <cell r="E144" t="str">
            <v>O presente contrato tem por objeto a aquisição de equipamentos e materiais, como, copos plásticos, selos de alumínio e caixas de proteção de papelão, destinados exclusivamente ao processo de envase</v>
          </cell>
          <cell r="F144" t="str">
            <v>Licitação Eletrônica n.º 002/2025-PRL/CAEMA</v>
          </cell>
          <cell r="G144" t="str">
            <v>38.560.437/0001/52</v>
          </cell>
          <cell r="K144">
            <v>46128</v>
          </cell>
          <cell r="L144">
            <v>148</v>
          </cell>
        </row>
        <row r="145">
          <cell r="A145" t="str">
            <v>015/2023</v>
          </cell>
          <cell r="B145">
            <v>3938893.84</v>
          </cell>
          <cell r="C145" t="str">
            <v>DO</v>
          </cell>
          <cell r="D145" t="str">
            <v>DESTACK SERVIÇOS AMBIENTAIS</v>
          </cell>
          <cell r="E145" t="str">
            <v>Serviços de desobstrução e limpeza de redes coletoras, ramais prediais, interceptores, emissários por gravidade, poços de visita, caixas de inspeção, estações elevatórias e estações de tratamento de esgotos, com utilização de equipamentos específicos, motoristas operadores, ajudantes de apoio e combustive!, além dos serviços de video inspeção por televisionamento, inspeção e relatório de diagnóstico e prognóstico de redes coletoras, do Sistema de Esgotamento Sanitário da cidade de Imperatriz/MA</v>
          </cell>
          <cell r="F145" t="str">
            <v>PREGÃO ELETRÔNICO N° 075/2022</v>
          </cell>
          <cell r="G145" t="str">
            <v>23.682.131/0001-00</v>
          </cell>
          <cell r="K145">
            <v>46130</v>
          </cell>
          <cell r="L145">
            <v>150</v>
          </cell>
        </row>
        <row r="146">
          <cell r="A146" t="str">
            <v>025/2023</v>
          </cell>
          <cell r="B146">
            <v>261000</v>
          </cell>
          <cell r="C146" t="str">
            <v>DG</v>
          </cell>
          <cell r="D146" t="str">
            <v>MJ TERCEIRIZAÇÃO E SERVIÇO LTDA</v>
          </cell>
          <cell r="E146" t="str">
            <v xml:space="preserve">Serviço de manutenção preventiva e corretiva em aparelhos de ar condicionados tipo Slpit. </v>
          </cell>
          <cell r="F146" t="str">
            <v>Pregão Eletrõnico n° 072/2022</v>
          </cell>
          <cell r="G146" t="str">
            <v>24.829.055/0001-77</v>
          </cell>
          <cell r="K146">
            <v>46137</v>
          </cell>
          <cell r="L146">
            <v>157</v>
          </cell>
        </row>
        <row r="147">
          <cell r="A147" t="str">
            <v>034/2021</v>
          </cell>
          <cell r="B147">
            <v>17204.88</v>
          </cell>
          <cell r="C147" t="str">
            <v>DG-LOCAÇÃO</v>
          </cell>
          <cell r="D147" t="str">
            <v>OEDSON ALVES BEZERRA (MIRADOR)</v>
          </cell>
          <cell r="E147" t="str">
            <v>Locação de imóvel para o  funcionamento  de  escritório no  Município  de  Mirador/MA</v>
          </cell>
          <cell r="F147" t="str">
            <v>Dispensa de Licitação</v>
          </cell>
          <cell r="G147" t="str">
            <v>146.370.063-68</v>
          </cell>
          <cell r="K147">
            <v>46147</v>
          </cell>
          <cell r="L147">
            <v>167</v>
          </cell>
        </row>
        <row r="148">
          <cell r="A148" t="str">
            <v>029/2023</v>
          </cell>
          <cell r="B148">
            <v>252747</v>
          </cell>
          <cell r="C148" t="str">
            <v>DG</v>
          </cell>
          <cell r="D148" t="str">
            <v>TRANSPORTES REQUINTE LTDA</v>
          </cell>
          <cell r="E148" t="str">
            <v>Serviços de transporte coletivo para a condução de funcionários da CAEMA lotados no sistema Sacavém</v>
          </cell>
          <cell r="F148" t="str">
            <v>PREGÃO ELETRÔNICO N° 001/2023</v>
          </cell>
          <cell r="G148" t="str">
            <v>06.077.708/0001-27</v>
          </cell>
          <cell r="K148">
            <v>46153</v>
          </cell>
          <cell r="L148">
            <v>173</v>
          </cell>
        </row>
        <row r="149">
          <cell r="A149" t="str">
            <v>009/2025</v>
          </cell>
          <cell r="B149">
            <v>3854404.86</v>
          </cell>
          <cell r="C149" t="str">
            <v>DE</v>
          </cell>
          <cell r="D149" t="str">
            <v>SÓ POÇOS CONSTRUÇÕES EIRELI</v>
          </cell>
          <cell r="E149" t="str">
            <v>Perfuração de 04 (quatro) poços tubulares profundos, no Município de Imperatriz/MA.</v>
          </cell>
          <cell r="F149" t="str">
            <v>PREGÃO ELETRÔNICO 
Nº 024/2023</v>
          </cell>
          <cell r="G149" t="str">
            <v>06.922.664.0001-94</v>
          </cell>
          <cell r="K149">
            <v>46154</v>
          </cell>
          <cell r="L149">
            <v>174</v>
          </cell>
        </row>
        <row r="150">
          <cell r="A150" t="str">
            <v>041/2025</v>
          </cell>
          <cell r="B150">
            <v>18862196.289999999</v>
          </cell>
          <cell r="C150" t="str">
            <v>DC</v>
          </cell>
          <cell r="D150" t="str">
            <v>FIMM BRASIL LTDA</v>
          </cell>
          <cell r="E150" t="str">
            <v xml:space="preserve">Contratação de uma empresa especializada na prestação contínua de serviços de instalação e manutenção de ramais de águas e ramais de esgoto, instalação e substituição de hidrômetros, corte, religação, supressão, restabelecimento, remanejamento de hidrômetros e ramais prediais de águas e conserto de vazamentos, localizados no Sistemas de Abastecimento de Água da região metropolitana de Sâo Luís/MA.     </v>
          </cell>
          <cell r="F150" t="str">
            <v>Licitação Eletrônica n.º 004/2025-PRL/CAEMA</v>
          </cell>
          <cell r="G150" t="str">
            <v>01.298.675/0001-21</v>
          </cell>
          <cell r="K150">
            <v>46156</v>
          </cell>
          <cell r="L150">
            <v>176</v>
          </cell>
        </row>
        <row r="151">
          <cell r="A151" t="str">
            <v>032/2023</v>
          </cell>
          <cell r="B151">
            <v>10642.8</v>
          </cell>
          <cell r="C151" t="str">
            <v>DG-LOCAÇÃO</v>
          </cell>
          <cell r="D151" t="str">
            <v>CARLOS AUGUSTO SANTOS GONÇALVES (MORROS)</v>
          </cell>
          <cell r="E151" t="str">
            <v xml:space="preserve">Locação o imóvel situado no Município de MORROS /MA, para funcionamento do Escritório Local. </v>
          </cell>
          <cell r="F151" t="str">
            <v>DISPENSA DE LICITAÇÃO N° 011/2023- CAEMA</v>
          </cell>
          <cell r="G151" t="str">
            <v>255.033.403-53</v>
          </cell>
          <cell r="K151">
            <v>46159</v>
          </cell>
          <cell r="L151">
            <v>179</v>
          </cell>
        </row>
        <row r="152">
          <cell r="A152" t="str">
            <v>027/2023</v>
          </cell>
          <cell r="B152">
            <v>7582221.96</v>
          </cell>
          <cell r="C152" t="str">
            <v>DO</v>
          </cell>
          <cell r="D152" t="str">
            <v>MARQUES CONSTRUÇÕES E COMÉRCIO LTDA</v>
          </cell>
          <cell r="E152" t="str">
            <v>Contratação de empresa especializada para contratação de serviços de manutenção preventiva e corretiva em anéis de distribuição, adutoras e subadutoras de água, incluindo as conexões, válvulas e aparelhos de ferro fundido, aço carbono e PVC DeFoFo</v>
          </cell>
          <cell r="F152" t="str">
            <v>Pregão Eletrônico nº 007/2023</v>
          </cell>
          <cell r="G152" t="str">
            <v>20.451.788/0001-60</v>
          </cell>
          <cell r="K152">
            <v>46160</v>
          </cell>
          <cell r="L152">
            <v>180</v>
          </cell>
        </row>
        <row r="153">
          <cell r="A153" t="str">
            <v>095/2022</v>
          </cell>
          <cell r="B153">
            <v>3040776.78</v>
          </cell>
          <cell r="C153" t="str">
            <v>DE</v>
          </cell>
          <cell r="D153" t="str">
            <v>MOBICON CONSTRUTORA LTDA</v>
          </cell>
          <cell r="E153" t="str">
            <v xml:space="preserve">Execução de Obras e Serviços de Conclusão de Implantação e Ampliação do Sistema de Esgotamento Sanitário de Sao Luis-Etapa 1- Sistemas: Anil, Bacanga (Margem Direita), São Francisco E Vinhais (PAC 2), </v>
          </cell>
          <cell r="F153" t="str">
            <v>LICITAÇÃO PUBLICA 01/22 - LP0012022</v>
          </cell>
          <cell r="G153" t="str">
            <v>2.260.240/0001-04</v>
          </cell>
          <cell r="K153">
            <v>46160</v>
          </cell>
          <cell r="L153">
            <v>180</v>
          </cell>
        </row>
        <row r="154">
          <cell r="A154" t="str">
            <v>002/2018</v>
          </cell>
          <cell r="B154">
            <v>428344.32000000001</v>
          </cell>
          <cell r="C154" t="str">
            <v>DE</v>
          </cell>
          <cell r="D154" t="str">
            <v>SECRETARIA DE ESTADO DA AGRICULTURA FAMILIAR- SAF</v>
          </cell>
          <cell r="K154">
            <v>46164</v>
          </cell>
          <cell r="L154">
            <v>184</v>
          </cell>
        </row>
        <row r="155">
          <cell r="A155" t="str">
            <v>027/2022</v>
          </cell>
          <cell r="B155">
            <v>28000</v>
          </cell>
          <cell r="C155" t="str">
            <v>DG</v>
          </cell>
          <cell r="D155" t="str">
            <v>PROMAXIMA GESTÃO EMPRESARIAL LTDA</v>
          </cell>
          <cell r="E155" t="str">
            <v>Contratação de empresa especializada para a prestação de serviço de assinatura online da ferramenta Fonte de Preço, que se constitui em banco de dados desenvolvidfo para auxiliar todas as fases da contratação pública, ou seja, da fase interna (pesquisa de preço, especificação de bem/serviço...) até a fase externa (julgamento das propostas)</v>
          </cell>
          <cell r="F155" t="str">
            <v>Inexigibilidade de Licitação</v>
          </cell>
          <cell r="G155" t="str">
            <v>16.538.909/0001-38</v>
          </cell>
          <cell r="K155">
            <v>46173</v>
          </cell>
          <cell r="L155">
            <v>193</v>
          </cell>
        </row>
        <row r="156">
          <cell r="A156" t="str">
            <v>017/2024</v>
          </cell>
          <cell r="B156">
            <v>48000</v>
          </cell>
          <cell r="C156" t="str">
            <v>DG-LOCAÇÃO</v>
          </cell>
          <cell r="D156" t="str">
            <v>Sra MARIA ROSEMAR PEREIRA DA COSTA (LOCATÁRIA)</v>
          </cell>
          <cell r="E156" t="str">
            <v>Locação de imóvel situado na travessa José Reis, município de Colinas/ Ma, para funcionamento do Escritório Local.</v>
          </cell>
          <cell r="F156" t="str">
            <v>DISPENSA DE LICITAÇÃO  N° 009/2024</v>
          </cell>
          <cell r="G156" t="str">
            <v>027.***.***-19</v>
          </cell>
          <cell r="K156">
            <v>46177</v>
          </cell>
          <cell r="L156">
            <v>197</v>
          </cell>
        </row>
        <row r="157">
          <cell r="A157" t="str">
            <v>021/2024</v>
          </cell>
          <cell r="B157">
            <v>20160</v>
          </cell>
          <cell r="C157" t="str">
            <v>DG</v>
          </cell>
          <cell r="D157" t="str">
            <v>WIKI TELECOMUNICAÇÕES LTDA</v>
          </cell>
          <cell r="E157" t="str">
            <v>Contratação de empresa para a prestação de serviço de, fornecimento de conectividade IP – Internet Protocolo, por meio de link dedicado.</v>
          </cell>
          <cell r="F157" t="str">
            <v>DISPENSA DE LICITAÇÃO N° 005/2024</v>
          </cell>
          <cell r="G157" t="str">
            <v>11.509.434/0001-38</v>
          </cell>
          <cell r="K157">
            <v>46179</v>
          </cell>
          <cell r="L157">
            <v>199</v>
          </cell>
        </row>
        <row r="158">
          <cell r="A158" t="str">
            <v>016/2024</v>
          </cell>
          <cell r="B158">
            <v>3599.9</v>
          </cell>
          <cell r="C158" t="str">
            <v>DE</v>
          </cell>
          <cell r="D158" t="str">
            <v xml:space="preserve">682 SOLUÇÕES EM TECNOLOGIA DA INFORMAÇÃO LTDA </v>
          </cell>
          <cell r="E158" t="str">
            <v xml:space="preserve">Contratação de serviços de fornecimento de licença anual de plataforma de pesquisa de preços de itens (serviços, materiais e equipamentos) em bancos oficiais, de acordo com as especificações técnicas e quantitativos constantes no termo de referência.
</v>
          </cell>
          <cell r="F158" t="str">
            <v>DISPENSA DE LICITAÇÃO N° 008/2024</v>
          </cell>
          <cell r="G158" t="str">
            <v>23.674.714/0001-80</v>
          </cell>
          <cell r="K158">
            <v>46183</v>
          </cell>
          <cell r="L158">
            <v>203</v>
          </cell>
        </row>
        <row r="159">
          <cell r="A159" t="str">
            <v>034/2024</v>
          </cell>
          <cell r="B159">
            <v>15600</v>
          </cell>
          <cell r="C159" t="str">
            <v>DG-LOCAÇÃO</v>
          </cell>
          <cell r="D159" t="str">
            <v xml:space="preserve">LOCAÇÃO SÃO BENEDITO </v>
          </cell>
          <cell r="E159" t="str">
            <v>Locação de  imóvel situado na Rua Evaristo Sousa, Município de SÃO BENEDITO DO RIO PRETO/MA, para funcionamento do Escritório Local.</v>
          </cell>
          <cell r="F159" t="str">
            <v>DISPENSA DE LICITAÇÃO  
N° 018/2024</v>
          </cell>
          <cell r="G159" t="str">
            <v>242.544.953-15</v>
          </cell>
          <cell r="K159">
            <v>46256</v>
          </cell>
          <cell r="L159">
            <v>276</v>
          </cell>
        </row>
        <row r="160">
          <cell r="A160" t="str">
            <v>058/2024</v>
          </cell>
          <cell r="B160">
            <v>24000</v>
          </cell>
          <cell r="C160" t="str">
            <v>DG-LOCAÇÃO</v>
          </cell>
          <cell r="D160" t="str">
            <v xml:space="preserve">SR. ALAN COELHO PASSARINHO </v>
          </cell>
          <cell r="E160" t="str">
            <v>Locação de  imóvel situado na Rua Manoel Olívio Carvalho, nº 255, Centro, Município de São Raimundo das Mangabeiras/MA, para funcionamento do Escritório Local.</v>
          </cell>
          <cell r="F160" t="str">
            <v>DISPENSA DE LICITAÇÃO N° 026/2024</v>
          </cell>
          <cell r="G160" t="str">
            <v>739.028.883-34</v>
          </cell>
          <cell r="K160">
            <v>46309</v>
          </cell>
          <cell r="L160">
            <v>329</v>
          </cell>
        </row>
        <row r="161">
          <cell r="A161" t="str">
            <v>046/2024</v>
          </cell>
          <cell r="B161">
            <v>4475699.54</v>
          </cell>
          <cell r="C161" t="str">
            <v>DC</v>
          </cell>
          <cell r="D161" t="str">
            <v xml:space="preserve">GHS BRASIL PRESTAÇÃO DE SERVIÇOS LTDA </v>
          </cell>
          <cell r="E161" t="str">
            <v>Prestação de serviços contínuos de leitura, impressão simultânea e entrega de contas, com a utilização de impressoras térmicas portáteis, coletores eletrônicos de dados, customização do sistema de impressão simultânea de contas e atualização cadastral de clientes da CAEMA, LOTE 03, UNIDADES DE PEDREIRAS, CHAPADINHA, PRESIDENTE DUTRA E COROÁTÁ/MA.</v>
          </cell>
          <cell r="F161" t="str">
            <v>DISPENSA DE LICITAÇÃO
N° 028/2024</v>
          </cell>
          <cell r="G161" t="str">
            <v>37.796.688/0001-78</v>
          </cell>
          <cell r="K161">
            <v>46392</v>
          </cell>
          <cell r="L161">
            <v>412</v>
          </cell>
        </row>
        <row r="162">
          <cell r="A162" t="str">
            <v>009/2023</v>
          </cell>
          <cell r="B162">
            <v>12500.9</v>
          </cell>
          <cell r="C162" t="str">
            <v>DG-LOCAÇÃO</v>
          </cell>
          <cell r="D162" t="str">
            <v>SONIA MARIA DE OLIVEIRA COIMBRA (JATOBA)</v>
          </cell>
          <cell r="E162" t="str">
            <v>Locação o imóvel para funcionamento do Escritório Local no Município de JATOBÁ/MA</v>
          </cell>
          <cell r="F162" t="str">
            <v>DISPENSA DE LICITAÇÃO  N° 06/2023</v>
          </cell>
          <cell r="G162" t="str">
            <v>249.511.453-91</v>
          </cell>
          <cell r="K162">
            <v>46476</v>
          </cell>
          <cell r="L162">
            <v>496</v>
          </cell>
        </row>
        <row r="163">
          <cell r="A163" t="str">
            <v>037/2023</v>
          </cell>
          <cell r="B163">
            <v>31321.200000000001</v>
          </cell>
          <cell r="C163" t="str">
            <v>DG-LOCAÇÃO</v>
          </cell>
          <cell r="D163" t="str">
            <v>MARIA DA CONCEIÇÃO DA SILVA (BACABEIRA)</v>
          </cell>
          <cell r="E163" t="str">
            <v xml:space="preserve">Locação o imóvel situado no Município de Bacabeira/MA, para funcionamento do Escritório Local. </v>
          </cell>
          <cell r="F163" t="str">
            <v>DISPENSA DE LICITAÇÃO N° 010/2023- CAEMA</v>
          </cell>
          <cell r="G163" t="str">
            <v>903.569.183-00</v>
          </cell>
          <cell r="K163">
            <v>46524</v>
          </cell>
          <cell r="L163">
            <v>544</v>
          </cell>
        </row>
        <row r="164">
          <cell r="A164" t="str">
            <v>034/2023</v>
          </cell>
          <cell r="B164">
            <v>17852.400000000001</v>
          </cell>
          <cell r="C164" t="str">
            <v>DG-LOCAÇÃO</v>
          </cell>
          <cell r="D164" t="str">
            <v>ANTONIA MARIA MACEDO LOPES FONSECA (FORTALEZA DOS NOGUEIRAS)</v>
          </cell>
          <cell r="E164" t="str">
            <v>Locação o imóvel no MUNICÍPIO DE FORTALEZA DOS NOGUEIRAS/MA, para funcionamento do Escritório Local</v>
          </cell>
          <cell r="F164" t="str">
            <v>DISPENSA DE LICITAÇÃO N° 015/2023</v>
          </cell>
          <cell r="G164" t="str">
            <v>650.080.493-72</v>
          </cell>
          <cell r="K164">
            <v>46538</v>
          </cell>
          <cell r="L164">
            <v>558</v>
          </cell>
        </row>
        <row r="165">
          <cell r="A165" t="str">
            <v>019/2025</v>
          </cell>
          <cell r="B165">
            <v>36108000</v>
          </cell>
          <cell r="C165" t="str">
            <v>DO</v>
          </cell>
          <cell r="D165" t="str">
            <v>BAUMINAS QUIMICA N-NE LTDA</v>
          </cell>
          <cell r="E165" t="str">
            <v>Fornecimento com entrega de 14.160.000 Kg de sulfato de alumínio ferroso líquido para atender a uma etapa do processo de produção de água nas instalações da CAEMA – LOTE 01 (Bacabeira/Italuis)</v>
          </cell>
          <cell r="F165" t="str">
            <v>Licitação Eletrônica n.º 024/2024-PRL/CAEMA</v>
          </cell>
          <cell r="G165" t="str">
            <v>23.647.365/0008-84</v>
          </cell>
          <cell r="K165">
            <v>46851</v>
          </cell>
          <cell r="L165">
            <v>871</v>
          </cell>
        </row>
        <row r="166">
          <cell r="A166" t="str">
            <v>020/2025</v>
          </cell>
          <cell r="B166">
            <v>4768785</v>
          </cell>
          <cell r="C166" t="str">
            <v>DO</v>
          </cell>
          <cell r="D166" t="str">
            <v>BAUMINAS QUIMICA N-NE LTDA</v>
          </cell>
          <cell r="E166" t="str">
            <v>Fornecimento com entrega de 2.725.020 Kg de sulfato de alumínio ferroso líquido para atender a uma etapa do processo de produção de água nas instalações da CAEMA – LOTE 02: Gerência de Serviços e Negócios de Chapadinha (Chapadinha - Centro, Chapadinha - Itamacaoca, Duque Bacelar, São Benedito Rio Preto, Buriti Inácia Vaz, Brejo, São Bernardo). Inclui também o fornecimento de tanques de armazenamento com bombas para o transporte do produto e conjuntos de bombas dosadoras em comodato, tanto em São Luís quanto no interior do Estado do Maranhão</v>
          </cell>
          <cell r="F166" t="str">
            <v>Licitação Eletrônica n.º 024/2024-PRL/CAEMA</v>
          </cell>
          <cell r="G166" t="str">
            <v>23.647.365/0008-84</v>
          </cell>
          <cell r="K166">
            <v>46851</v>
          </cell>
          <cell r="L166">
            <v>871</v>
          </cell>
        </row>
        <row r="167">
          <cell r="A167" t="str">
            <v>021/2025</v>
          </cell>
          <cell r="B167">
            <v>2892777.84</v>
          </cell>
          <cell r="C167" t="str">
            <v>DO</v>
          </cell>
          <cell r="D167" t="str">
            <v>BAUMINAS QUIMICA N-NE LTDA</v>
          </cell>
          <cell r="E167" t="str">
            <v>Fornecimento com entrega de 1.662.516 Kg de sulfato de alumínio ferroso líquido para atender a uma etapa do processo de produção de água nas instalações da CAEMA – LOTE 03: Gerência de Serviços e Negócios de Barreirinhas (Barreirinhas, Araioses, Tutóia, Urbano Santos, Morros, Axixá). Inclui também o fornecimento de tanques de armazenamento com bombas para o transporte do produto e conjuntos de bombas dosadoras em comodato, tanto em São Luís quanto no interior do Estado do Maranhão.</v>
          </cell>
          <cell r="F167" t="str">
            <v>Licitação Eletrônica n.º 024/2024-PRL/CAEMA</v>
          </cell>
          <cell r="G167" t="str">
            <v>23.647.365/0008-84</v>
          </cell>
          <cell r="K167">
            <v>46851</v>
          </cell>
          <cell r="L167">
            <v>871</v>
          </cell>
        </row>
        <row r="168">
          <cell r="A168" t="str">
            <v>022/2025</v>
          </cell>
          <cell r="B168">
            <v>4546689.12</v>
          </cell>
          <cell r="C168" t="str">
            <v>DO</v>
          </cell>
          <cell r="D168" t="str">
            <v>BAUMINAS QUIMICA N-NE LTDA</v>
          </cell>
          <cell r="E168" t="str">
            <v>Fornecimento com entrega de 2.628.144 Kg de sulfato de alumínio ferroso líquido para atender a uma etapa do processo de produção de água nas instalações da CAEMA – LOTE 04: Gerência de Serviços e Negócios de Itapecuru (Itapecuru, Cantanhede, Nina Rodrigues, Vargem Grande, Areias/Santa Rita, Pirapemas, Presidente Vargas). Inclui também o fornecimento de tanques de armazenamento com bombas para o transporte do produto e conjuntos de bombas dosadoras em comodato, tanto em São Luís quanto no interior do Estado do Maranhão.</v>
          </cell>
          <cell r="F168" t="str">
            <v>Licitação Eletrônica n.º 024/2024-PRL/CAEMA</v>
          </cell>
          <cell r="G168" t="str">
            <v>23.647.365/0008-84</v>
          </cell>
          <cell r="K168">
            <v>46851</v>
          </cell>
          <cell r="L168">
            <v>871</v>
          </cell>
        </row>
        <row r="169">
          <cell r="A169" t="str">
            <v>023/2025</v>
          </cell>
          <cell r="B169">
            <v>1785243.24</v>
          </cell>
          <cell r="C169" t="str">
            <v>DO</v>
          </cell>
          <cell r="D169" t="str">
            <v>BAUMINAS QUIMICA N-NE LTDA</v>
          </cell>
          <cell r="E169" t="str">
            <v>Fornecimento com entrega de 1.008.612 Kg de sulfato de alumínio ferroso líquido para atender a uma etapa do processo de produção de água nas instalações da CAEMA – LOTE 05: Gerência de Serviços e Negócios de Presidente Dutra (Barra do Corda). Inclui também o fornecimento de tanques de armazenamento com bombas para o transporte do produto e conjuntos de bombas dosadoras em comodato, tanto em São Luís quanto no interior do Estado do Maranhão.</v>
          </cell>
          <cell r="F169" t="str">
            <v>Licitação Eletrônica n.º 024/2024-PRL/CAEMA</v>
          </cell>
          <cell r="G169" t="str">
            <v>23.647.365/0008-84</v>
          </cell>
          <cell r="K169">
            <v>46851</v>
          </cell>
          <cell r="L169">
            <v>871</v>
          </cell>
        </row>
        <row r="170">
          <cell r="A170" t="str">
            <v>024/2025</v>
          </cell>
          <cell r="B170">
            <v>1299690</v>
          </cell>
          <cell r="C170" t="str">
            <v>DO</v>
          </cell>
          <cell r="D170" t="str">
            <v>BAUMINAS QUIMICA N-NE LTDA</v>
          </cell>
          <cell r="E170" t="str">
            <v>Fornecimento com entrega de 742.680 Kg de sulfato de alumínio ferroso líquido para atender a uma etapa do processo de produção de água nas instalações da CAEMA – LOTE 06: Gerência de Serviços e Negócios de Santa Inês (Cajari, Vitória do Mearim). Inclui também o fornecimento de tanques de armazenamento com bombas para o transporte do produto e conjuntos de bombas dosadoras em comodato, tanto em São Luís quanto no interior do Estado do Maranhão.</v>
          </cell>
          <cell r="F170" t="str">
            <v>Licitação Eletrônica n.º 024/2024-PRL/CAEMA</v>
          </cell>
          <cell r="G170" t="str">
            <v>23.647.365/0008-84</v>
          </cell>
          <cell r="H170" t="str">
            <v>Portaria 371/2025</v>
          </cell>
          <cell r="I170" t="str">
            <v>Antonio Juliano Lima Sousa</v>
          </cell>
          <cell r="J170" t="str">
            <v>Luso Cesar Lobo Negreiro</v>
          </cell>
          <cell r="K170">
            <v>46851</v>
          </cell>
          <cell r="L170">
            <v>871</v>
          </cell>
        </row>
        <row r="171">
          <cell r="A171" t="str">
            <v>025/2025</v>
          </cell>
          <cell r="B171">
            <v>1197644.3999999999</v>
          </cell>
          <cell r="C171" t="str">
            <v>DO</v>
          </cell>
          <cell r="D171" t="str">
            <v>BAUMINAS QUIMICA N-NE LTDA</v>
          </cell>
          <cell r="E171" t="str">
            <v>Fornecimento com entrega de 692.280 Kg de sulfato de alumínio ferroso líquido para atender a uma etapa do processo de produção de água nas instalações da CAEMA – LOTE 07: Gerência de Serviços e Negócios de Pinheiro (Pinheiro, Alcântara). Inclui também o fornecimento de tanques de armazenamento com bombas para o transporte do produto e conjuntos de bombas dosadoras em comodato, tanto em São Luís quanto no interior do Estado do Maranhão.</v>
          </cell>
          <cell r="F171" t="str">
            <v>Licitação Eletrônica n.º 024/2024-PRL/CAEMA</v>
          </cell>
          <cell r="G171" t="str">
            <v>23.647.365/0008-84</v>
          </cell>
          <cell r="K171">
            <v>46851</v>
          </cell>
          <cell r="L171">
            <v>871</v>
          </cell>
        </row>
        <row r="172">
          <cell r="A172" t="str">
            <v>026/2025</v>
          </cell>
          <cell r="B172">
            <v>1166760</v>
          </cell>
          <cell r="C172" t="str">
            <v>DO</v>
          </cell>
          <cell r="D172" t="str">
            <v>BAUMINAS QUIMICA N-NE LTDA</v>
          </cell>
          <cell r="E172" t="str">
            <v>Fornecimento com entrega de 666.720 Kg de sulfato de alumínio ferroso líquido para atender a uma etapa do processo de produção de água nas instalações da CAEMA – LOTE 08: Gerência de Serviços e Negócios de Colinas (Colinas, Barão de Grajaú, São Raimundo das Mangabeiras, Sambaíba, Loreto, Riachão). Inclui também o fornecimento de tanques de armazenamento com bombas para o transporte do produto e conjuntos de bombas dosadoras em comodato, tanto em São Luís quanto no interior do Estado do Maranhão.</v>
          </cell>
          <cell r="F172" t="str">
            <v>Licitação Eletrônica n.º 024/2024-PRL/CAEMA</v>
          </cell>
          <cell r="G172" t="str">
            <v>23.647.365/0008-84</v>
          </cell>
          <cell r="K172">
            <v>46851</v>
          </cell>
          <cell r="L172">
            <v>871</v>
          </cell>
        </row>
        <row r="173">
          <cell r="A173" t="str">
            <v>027/2025</v>
          </cell>
          <cell r="B173">
            <v>6665743.7999999998</v>
          </cell>
          <cell r="C173" t="str">
            <v>DO</v>
          </cell>
          <cell r="D173" t="str">
            <v>BAUMINAS QUIMICA N-NE LTDA</v>
          </cell>
          <cell r="E173" t="str">
            <v>Fornecimento com entrega de 3.349.620 Kg de policloreto de alumínio para atender a uma etapa do processo de produção de água nas instalações da CAEMA – LOTE 09: Gerência de Serviços e Negócios de Pedreiras (Pedreiras, Trizidela do vale, Timbiras). Inclui também o fornecimento de tanques de armazenamento com bombas para o transporte do produto e conjuntos de bombas dosadoras em comodato, tanto em São Luís quanto no interior do Estado do Maranhão.</v>
          </cell>
          <cell r="F173" t="str">
            <v>Licitação Eletrônica n.º 024/2024-PRL/CAEMA</v>
          </cell>
          <cell r="G173" t="str">
            <v>23.647.365/0008-84</v>
          </cell>
          <cell r="K173">
            <v>46851</v>
          </cell>
          <cell r="L173">
            <v>871</v>
          </cell>
        </row>
        <row r="174">
          <cell r="A174" t="str">
            <v>028/2025</v>
          </cell>
          <cell r="B174">
            <v>8207589.5999999996</v>
          </cell>
          <cell r="C174" t="str">
            <v>DO</v>
          </cell>
          <cell r="D174" t="str">
            <v>BAUMINAS QUIMICA N-NE LTDA</v>
          </cell>
          <cell r="E174" t="str">
            <v>Fornecimento com entrega de 4.319.784 Kg de policloreto de alumínio para atender a uma etapa do processo de produção de água nas instalações da CAEMA – LOTE 10: Gerência de Serviços e Negócios de Imperatriz (Imperatriz). Inclui também o fornecimento de tanques de armazenamento com bombas para o transporte do produto e conjuntos de bombas dosadoras em comodato, tanto em São Luís quanto no interior do Estado do Maranhão.</v>
          </cell>
          <cell r="F174" t="str">
            <v>Licitação Eletrônica n.º 024/2024-PRL/CAEMA</v>
          </cell>
          <cell r="G174" t="str">
            <v>23.647.365/0008-84</v>
          </cell>
          <cell r="K174">
            <v>46851</v>
          </cell>
          <cell r="L174">
            <v>871</v>
          </cell>
        </row>
        <row r="175">
          <cell r="A175" t="str">
            <v>029/2025</v>
          </cell>
          <cell r="B175">
            <v>2740046.4</v>
          </cell>
          <cell r="C175" t="str">
            <v>DO</v>
          </cell>
          <cell r="D175" t="str">
            <v>BAUMINAS QUIMICA N-NE LTDA</v>
          </cell>
          <cell r="E175" t="str">
            <v>Fornecimento com entrega de 1.239.840 Kg de policloreto de alumínio para atender a uma etapa do processo de produção de água nas instalações da CAEMA – LOTE 11: São Luís (Sacavém). Inclui também o fornecimento de tanques de armazenamento com bombas para o transporte do produto e conjuntos de bombas dosadoras em comodato, tanto em São Luís quanto no interior do Estado do Maranhão.</v>
          </cell>
          <cell r="F175" t="str">
            <v>Licitação Eletrônica n.º 024/2024-PRL/CAEMA</v>
          </cell>
          <cell r="G175" t="str">
            <v>23.647.365/0008-84</v>
          </cell>
          <cell r="K175">
            <v>46851</v>
          </cell>
          <cell r="L175">
            <v>871</v>
          </cell>
        </row>
        <row r="176">
          <cell r="A176" t="str">
            <v>015/2024</v>
          </cell>
          <cell r="B176" t="str">
            <v>POR DEMANDA</v>
          </cell>
          <cell r="C176" t="str">
            <v>DG</v>
          </cell>
          <cell r="D176" t="str">
            <v>GUSTAVO MARTINS ROCHA</v>
          </cell>
          <cell r="E176" t="str">
            <v>Execução dos serviços de leiloeiros oficial para alienação de bens móveis inservíveis de propriedade da  CAEMA</v>
          </cell>
          <cell r="F176" t="str">
            <v>CREDENCIAMENTO  N° 01/2022</v>
          </cell>
          <cell r="G176" t="str">
            <v>085.248.657-09</v>
          </cell>
          <cell r="K176">
            <v>46130</v>
          </cell>
          <cell r="L176">
            <v>150</v>
          </cell>
        </row>
        <row r="177">
          <cell r="A177" t="str">
            <v>045/2025</v>
          </cell>
          <cell r="B177">
            <v>15028153.6</v>
          </cell>
          <cell r="C177" t="str">
            <v>DO</v>
          </cell>
          <cell r="D177" t="str">
            <v xml:space="preserve">SABARÁ QUIMICOS E INGREDIENTES </v>
          </cell>
          <cell r="E177" t="str">
            <v>prestação de serviços de dosagem de cloro gasoso liquefeito, com o fornecimento do produto em cilindros de 68 kg e 900 kg, conforme as necessidades da contratante.</v>
          </cell>
          <cell r="F177" t="str">
            <v>Licitação Eletrônica n.º 010/2025-PRL/CAEMA</v>
          </cell>
          <cell r="G177" t="str">
            <v>12.884.672/0001-96</v>
          </cell>
          <cell r="K177">
            <v>46184</v>
          </cell>
          <cell r="L177">
            <v>204</v>
          </cell>
        </row>
        <row r="178">
          <cell r="A178" t="str">
            <v>046/2025</v>
          </cell>
          <cell r="B178">
            <v>49655</v>
          </cell>
          <cell r="C178" t="str">
            <v>DG</v>
          </cell>
          <cell r="D178" t="str">
            <v>ALFAPEOPLE DO BRASIL CONSULTORIA DE INFORMÁTICA</v>
          </cell>
          <cell r="E178" t="str">
            <v>serviço comum consistente no fornecimento de 50 (cinquenta) licenças de uso de software na nuvem (Software as a Service - SaaS) de Business Intelligence (BI) por meio da suíte Microsoft Power BI na sua versão PRO e 01 (uma) licença do referido software na sua versão PREMIUM,</v>
          </cell>
          <cell r="F178" t="str">
            <v>Dispensa de Licitação</v>
          </cell>
          <cell r="G178" t="str">
            <v>07.099.365/0001-64</v>
          </cell>
          <cell r="K178">
            <v>46176</v>
          </cell>
          <cell r="L178">
            <v>196</v>
          </cell>
        </row>
        <row r="179">
          <cell r="A179" t="str">
            <v>051/2025</v>
          </cell>
          <cell r="B179">
            <v>54474</v>
          </cell>
          <cell r="C179" t="str">
            <v>DG</v>
          </cell>
          <cell r="D179" t="str">
            <v>CALIMAX EQUIPAMENTOS E SERVIÇOS LTDA</v>
          </cell>
          <cell r="E179" t="str">
            <v>O presente Contrato tem por objeto contratação de empresa especializada na prestação de serviços relacionados a extintores, incluindo recarga, testes hidrostáticos, reposição de peças, em conformidade com as normas técnicas vigentes (ABNT/INMETRO)</v>
          </cell>
          <cell r="F179" t="str">
            <v>Dispensa de Licitação</v>
          </cell>
          <cell r="G179" t="str">
            <v>01.841.416/0001-03</v>
          </cell>
          <cell r="H179" t="str">
            <v>Portaria 375/2025</v>
          </cell>
          <cell r="I179" t="str">
            <v>Fernando José Barreto Bittencourt</v>
          </cell>
          <cell r="J179" t="str">
            <v>Dione Sousa Margon Boaz</v>
          </cell>
          <cell r="K179">
            <v>46019</v>
          </cell>
          <cell r="L179">
            <v>39</v>
          </cell>
        </row>
        <row r="180">
          <cell r="A180" t="str">
            <v>052/2025</v>
          </cell>
          <cell r="B180">
            <v>52202.99</v>
          </cell>
          <cell r="C180" t="str">
            <v>DG</v>
          </cell>
          <cell r="D180" t="str">
            <v>S R F SANTOS LTDA</v>
          </cell>
          <cell r="E180" t="str">
            <v>o fornecimento com entrega de móveis, utensílios e equipamentos a serem utilizados em diversas áreas da CAEMA</v>
          </cell>
          <cell r="F180" t="str">
            <v>Licitação Eletrônica n.º 017/2024-PRL/CAEMA</v>
          </cell>
          <cell r="G180" t="str">
            <v>19.681.524/0001-13</v>
          </cell>
          <cell r="H180" t="str">
            <v>Portaria 376/2025</v>
          </cell>
          <cell r="I180" t="str">
            <v>Edjunior de Abreu Mendes</v>
          </cell>
          <cell r="J180" t="str">
            <v>Adonias Lima Coelho</v>
          </cell>
          <cell r="K180">
            <v>46019</v>
          </cell>
          <cell r="L180">
            <v>39</v>
          </cell>
        </row>
        <row r="181">
          <cell r="A181" t="str">
            <v>053/2025</v>
          </cell>
          <cell r="B181" t="str">
            <v xml:space="preserve">POR DEMANDA </v>
          </cell>
          <cell r="C181" t="str">
            <v>DG</v>
          </cell>
          <cell r="D181" t="str">
            <v>BANCO BRADESCO S/A</v>
          </cell>
          <cell r="E181" t="str">
            <v>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v>
          </cell>
          <cell r="F181" t="str">
            <v>Credencaimento</v>
          </cell>
          <cell r="G181" t="str">
            <v>60.746.948/0001-12</v>
          </cell>
          <cell r="H181" t="str">
            <v>Portaria 377/2025</v>
          </cell>
          <cell r="I181" t="str">
            <v>Rosenete Correa de Abreu</v>
          </cell>
          <cell r="J181" t="str">
            <v>Nery de Jesus Maranhão Cardoso</v>
          </cell>
          <cell r="K181">
            <v>46203</v>
          </cell>
          <cell r="L181">
            <v>223</v>
          </cell>
        </row>
        <row r="182">
          <cell r="A182" t="str">
            <v>058/2025</v>
          </cell>
          <cell r="B182">
            <v>58320</v>
          </cell>
          <cell r="C182" t="str">
            <v>DG</v>
          </cell>
          <cell r="D182" t="str">
            <v>INSTITUTO EUVALDO LODI NUCLEO REGIONAL - IEL</v>
          </cell>
          <cell r="E182" t="str">
            <v>contratação de empresa especializada em gerenciamento de Programas de Estágio, atendendo as definições, condições e especificações inseridas pela Lei nº 11.788/08, no Decreto nº 37.746/2022.</v>
          </cell>
          <cell r="F182" t="str">
            <v>Dispensa de Licitação</v>
          </cell>
          <cell r="G182" t="str">
            <v>06.303.549/0001-31</v>
          </cell>
          <cell r="H182" t="str">
            <v>Portaria 378/2025</v>
          </cell>
          <cell r="I182" t="str">
            <v>Danilo Soares Serra Gaioso</v>
          </cell>
          <cell r="J182" t="str">
            <v>Mariana Zelia Oliveira Silva</v>
          </cell>
          <cell r="K182">
            <v>46205</v>
          </cell>
          <cell r="L182">
            <v>225</v>
          </cell>
        </row>
        <row r="183">
          <cell r="A183" t="str">
            <v>049/2025</v>
          </cell>
          <cell r="B183">
            <v>633343.27</v>
          </cell>
          <cell r="C183" t="str">
            <v>DE</v>
          </cell>
          <cell r="D183" t="str">
            <v>PALMARES CONSTRUÇÕES LTDA</v>
          </cell>
          <cell r="E183" t="str">
            <v>perfuração de 01 (um) poço tubular, no Município de Coroatá/MA</v>
          </cell>
          <cell r="F183" t="str">
            <v>(Pregão Eletrônico n.º 024/2023-PRE/CAEMA</v>
          </cell>
          <cell r="G183" t="str">
            <v>11.302.593/0001-67</v>
          </cell>
          <cell r="H183" t="str">
            <v>Portaria 336/2025</v>
          </cell>
          <cell r="I183" t="str">
            <v>Sandro Sávio Soares Fonseca</v>
          </cell>
          <cell r="J183" t="str">
            <v>Daiane Volff Ferreira</v>
          </cell>
          <cell r="K183">
            <v>46097</v>
          </cell>
          <cell r="L183">
            <v>117</v>
          </cell>
        </row>
        <row r="184">
          <cell r="A184" t="str">
            <v>047/2025</v>
          </cell>
          <cell r="B184">
            <v>521418.72</v>
          </cell>
          <cell r="C184" t="str">
            <v>DG</v>
          </cell>
          <cell r="D184" t="str">
            <v>CLARO S.A</v>
          </cell>
          <cell r="E184" t="str">
            <v>Empresa prestadora de Serviço de Telefonia Móvel Pessoal (SMP), legalmente autorizada pela Agência Nacional de Telecomunicações – ANATEL</v>
          </cell>
          <cell r="F184" t="str">
            <v>Inexibilidade de licitação</v>
          </cell>
          <cell r="G184" t="str">
            <v>40.432.544/0245-93</v>
          </cell>
          <cell r="H184" t="str">
            <v>Portaria 346/2025</v>
          </cell>
          <cell r="I184" t="str">
            <v>Talyane Andrade de Matos</v>
          </cell>
          <cell r="J184" t="str">
            <v>Edjunior de Abreu Mendes</v>
          </cell>
          <cell r="K184">
            <v>46188</v>
          </cell>
          <cell r="L184">
            <v>208</v>
          </cell>
          <cell r="R184">
            <v>180</v>
          </cell>
        </row>
        <row r="185">
          <cell r="A185" t="str">
            <v>048/2025</v>
          </cell>
          <cell r="B185">
            <v>4176999.96</v>
          </cell>
          <cell r="C185" t="str">
            <v>DG</v>
          </cell>
          <cell r="D185" t="str">
            <v>LOCAMIL SERVIÇOS LTDA</v>
          </cell>
          <cell r="E185" t="str">
            <v>Contratação de empresa especializada para locação de motocicletas e veiculos tipo hatch, pick-up média e pick-up compacta, sem motorista e sem combustível.</v>
          </cell>
          <cell r="F185" t="str">
            <v>Licitação Eletrônica n.º 029/2024-PRL/CAEMA</v>
          </cell>
          <cell r="G185" t="str">
            <v>02743288/0001-10</v>
          </cell>
          <cell r="H185" t="str">
            <v>Portaria 444/2025</v>
          </cell>
          <cell r="I185" t="str">
            <v>Adonias Lima Coelho</v>
          </cell>
          <cell r="J185" t="str">
            <v>Jurandir Pereira da Silva</v>
          </cell>
          <cell r="K185">
            <v>46197</v>
          </cell>
          <cell r="L185">
            <v>217</v>
          </cell>
          <cell r="R185">
            <v>45943</v>
          </cell>
        </row>
        <row r="186">
          <cell r="A186" t="str">
            <v>050/2025</v>
          </cell>
          <cell r="B186">
            <v>134445.85999999999</v>
          </cell>
          <cell r="C186" t="str">
            <v>DG</v>
          </cell>
          <cell r="D186" t="str">
            <v xml:space="preserve">FLORIANRIUS </v>
          </cell>
          <cell r="E186" t="str">
            <v>Fornecimento com entrega de móveis, utensílios e equipamentos a serem utilizados em diversas áreas da CAEMA</v>
          </cell>
          <cell r="F186" t="str">
            <v>Licitação Eletrônica n. º 017/2024-PRL/CAEMA – ARP Nº 010/2025</v>
          </cell>
          <cell r="G186" t="str">
            <v>2.426.141/0001-81</v>
          </cell>
          <cell r="H186" t="str">
            <v>Portaria 351/2025</v>
          </cell>
          <cell r="I186" t="str">
            <v>Talyane Andrade de Matos</v>
          </cell>
          <cell r="J186" t="str">
            <v>Edjunior de Abreu Mendes</v>
          </cell>
          <cell r="K186">
            <v>46379</v>
          </cell>
          <cell r="L186">
            <v>399</v>
          </cell>
        </row>
        <row r="187">
          <cell r="A187" t="str">
            <v>055/2025</v>
          </cell>
          <cell r="B187" t="str">
            <v>POR DEMANDA</v>
          </cell>
          <cell r="C187" t="str">
            <v>DG</v>
          </cell>
          <cell r="D187" t="str">
            <v>CAIXA ECONOMICA FEDERAL</v>
          </cell>
          <cell r="E187" t="str">
            <v>Através deste Instrumento a CREDENCIADA se obriga a prestar o serviço de recebimento de faturas de água e esgotamento sanitário, de aproximadamente 549.814 consumidores ativos em todo o Estado do Maranhão, através de sistema informatizado, bem como, o depósito dos valores arrecadados na fatura bancária da CAEMA, conforme Termo de Referência e demais normas estabelecidas no Regulamento do Credenciamento e Processo supra mencionado, que passa a integrar este instrumento, independentemente de transcrição.</v>
          </cell>
          <cell r="F187" t="str">
            <v>Credenciamento n.º 001/2025-PRL/CAEMA</v>
          </cell>
          <cell r="G187" t="str">
            <v>00.360.305/0001-04</v>
          </cell>
          <cell r="K187">
            <v>46213</v>
          </cell>
          <cell r="L187">
            <v>233</v>
          </cell>
        </row>
        <row r="188">
          <cell r="A188" t="str">
            <v>056/2025</v>
          </cell>
          <cell r="B188">
            <v>691799.9</v>
          </cell>
          <cell r="C188" t="str">
            <v>DG</v>
          </cell>
          <cell r="D188" t="str">
            <v>PREVEN CLIN LTDA</v>
          </cell>
          <cell r="E188" t="str">
            <v>Prestação de serviços contínuos em medicina do trabalho e saúde ocupacional, conforme especificações, quantitativos e condições do Termo de Referência, Anexo I deste Edital.</v>
          </cell>
          <cell r="F188" t="str">
            <v>Licitação Eletrônica n. º 005/2025-PRL/CAEMA</v>
          </cell>
          <cell r="G188" t="str">
            <v>43.453.808/0001-37</v>
          </cell>
          <cell r="H188" t="str">
            <v>Portaria 399/2025</v>
          </cell>
          <cell r="I188" t="str">
            <v>Fernando José Barreto Bittencourt</v>
          </cell>
          <cell r="J188" t="str">
            <v>Tânia de Jesus Cantanhede de Araújo</v>
          </cell>
          <cell r="K188">
            <v>46211</v>
          </cell>
          <cell r="L188">
            <v>231</v>
          </cell>
        </row>
        <row r="189">
          <cell r="A189" t="str">
            <v>059/2025</v>
          </cell>
          <cell r="B189">
            <v>300000</v>
          </cell>
          <cell r="C189" t="str">
            <v>DG</v>
          </cell>
          <cell r="D189" t="str">
            <v>MARANHÃO PARCERIAS MAPA</v>
          </cell>
          <cell r="E189" t="str">
            <v>O presente contrato tem por objeto a contratação de Empresa especializada para a prestação de serviços de mobilidade urbana, por meio de plataforma digital integrada, visando ao deslocamento institucional dos empregados da Companhia de Saneamento Ambiental do Maranhão – CAEMA, com gestão operacional, controle por aplicativo e monitoramento via sistema gerencial.</v>
          </cell>
          <cell r="F189" t="str">
            <v>DISPENSA DE LICITAÇÃO</v>
          </cell>
          <cell r="G189" t="str">
            <v>06.281.794/0001-95</v>
          </cell>
          <cell r="H189" t="str">
            <v>Portaria 404/2025</v>
          </cell>
          <cell r="I189" t="str">
            <v>Eurico Alves da Silva Filho</v>
          </cell>
          <cell r="J189" t="str">
            <v>Adonias Lima Coelho</v>
          </cell>
          <cell r="K189">
            <v>46210</v>
          </cell>
          <cell r="L189">
            <v>230</v>
          </cell>
        </row>
        <row r="190">
          <cell r="A190" t="str">
            <v>061/2025</v>
          </cell>
          <cell r="B190">
            <v>520763.07</v>
          </cell>
          <cell r="C190" t="str">
            <v>DE</v>
          </cell>
          <cell r="D190" t="str">
            <v>PALMARES CONSTRUÇÕES LTDA</v>
          </cell>
          <cell r="E190" t="str">
            <v>Perfuração de 01 (um) poço tubular, no Município de Olho D’Água das Cunhãs/MA</v>
          </cell>
          <cell r="F190" t="str">
            <v>Pregão Eletrônico n.º 024/2023-PRE/CAEMA – ARP 020/2023</v>
          </cell>
          <cell r="G190" t="str">
            <v>11.302.593/0001-67</v>
          </cell>
          <cell r="H190" t="str">
            <v>Portaria 435/2025</v>
          </cell>
          <cell r="I190" t="str">
            <v>Sandro Sávio Soares Fonseca</v>
          </cell>
          <cell r="J190" t="str">
            <v>Daiane Volff Ferreira</v>
          </cell>
          <cell r="K190">
            <v>46136</v>
          </cell>
          <cell r="L190">
            <v>156</v>
          </cell>
        </row>
        <row r="191">
          <cell r="A191" t="str">
            <v>062/2025</v>
          </cell>
          <cell r="B191">
            <v>23040</v>
          </cell>
          <cell r="C191" t="str">
            <v>DG</v>
          </cell>
          <cell r="D191" t="str">
            <v>ALFA ENGENHARIA DE INFORMÁTICA</v>
          </cell>
          <cell r="E191" t="str">
            <v>Aquisição de 32 baterias estacionárias de 70 amperes por 12 volts, que substituirão as que estão sendo usadas atualmente no nobreak SMS de 40 KVA de potência, responsável pela manutenção da geração elétrica do nosso Datacenter.</v>
          </cell>
          <cell r="F191" t="str">
            <v>DISPENSA DE LICITAÇÃO</v>
          </cell>
          <cell r="G191" t="str">
            <v>00.252.212/0001-66</v>
          </cell>
          <cell r="H191" t="str">
            <v>Portaria 434/2025</v>
          </cell>
          <cell r="I191" t="str">
            <v>Eliernandes Mendes Rodrigues</v>
          </cell>
          <cell r="J191" t="str">
            <v>Clauber José Muniz</v>
          </cell>
          <cell r="K191">
            <v>46043</v>
          </cell>
          <cell r="L191">
            <v>63</v>
          </cell>
        </row>
        <row r="192">
          <cell r="A192" t="str">
            <v>063/2025</v>
          </cell>
          <cell r="B192">
            <v>23040</v>
          </cell>
          <cell r="C192" t="str">
            <v>DG - LOCAÇÃO</v>
          </cell>
          <cell r="D192" t="str">
            <v>MARTA ANDRE COSTA (ICATU)</v>
          </cell>
          <cell r="E192" t="str">
            <v>Locação o imóvel situado na Rua Barão do Rio Branco, nº 175, centro, Município de ICATU/MA, para funcionamento do Escritório Local, pelo prazo de 24 (vinte e quatro) meses, com vigência a partir da data de assinatura do presente Instrumento.</v>
          </cell>
          <cell r="F192" t="str">
            <v>ADITIVO I</v>
          </cell>
          <cell r="G192" t="str">
            <v>009.563.853-97</v>
          </cell>
          <cell r="H192" t="str">
            <v>Portaria 441/2025</v>
          </cell>
          <cell r="I192" t="str">
            <v>Cleison Gomes de Sá</v>
          </cell>
          <cell r="J192" t="str">
            <v>Marcelo Costa Oliveira</v>
          </cell>
          <cell r="K192">
            <v>46585</v>
          </cell>
          <cell r="L192">
            <v>605</v>
          </cell>
        </row>
        <row r="193">
          <cell r="A193" t="str">
            <v>064/2025</v>
          </cell>
          <cell r="B193">
            <v>726025.7</v>
          </cell>
          <cell r="C193" t="str">
            <v>DE</v>
          </cell>
          <cell r="D193" t="str">
            <v>PALMARES CONSTRUÇÕES LTDA</v>
          </cell>
          <cell r="E193" t="str">
            <v>O objeto do presente Termo de Contrato é a perfuração de 01 (um) poço tubular profundo, no Município de Zé Doca/MA: 8” X 200M</v>
          </cell>
          <cell r="F193" t="str">
            <v>CONTRATAÇÃO DE SERVIÇO</v>
          </cell>
          <cell r="G193" t="str">
            <v>11.302.593/0001-67</v>
          </cell>
          <cell r="H193" t="str">
            <v>Portaria 431/2025</v>
          </cell>
          <cell r="I193" t="str">
            <v>Sandro Sávio Soares Fonseca</v>
          </cell>
          <cell r="J193" t="str">
            <v>Daiane Volff Ferreira</v>
          </cell>
          <cell r="K193">
            <v>46142</v>
          </cell>
          <cell r="L193">
            <v>162</v>
          </cell>
        </row>
        <row r="194">
          <cell r="A194" t="str">
            <v>065/2025</v>
          </cell>
          <cell r="B194">
            <v>386516.3</v>
          </cell>
          <cell r="C194" t="str">
            <v>DE</v>
          </cell>
          <cell r="D194" t="str">
            <v xml:space="preserve">BATALHA CONSTRUÇÃO LTDA </v>
          </cell>
          <cell r="E194" t="str">
            <v>Execução dos serviços específicos de engenharia e hidrogeologia, para perfuração de 01 (um) poço tubular profundo no bairro Bom Jesus, do Sistema de Abastecimento do Município de São Luís/MA.</v>
          </cell>
          <cell r="F194" t="str">
            <v>PREGÃO ELETRÔNICO Nº 024/2023 - PRE/CAEMA, ATA DE REGISTRO DE PREÇOS N.º 021/2023 – CAEMA</v>
          </cell>
          <cell r="G194" t="str">
            <v>07.908.484/0001-10</v>
          </cell>
          <cell r="H194" t="str">
            <v>Portaria 432/2025</v>
          </cell>
          <cell r="I194" t="str">
            <v>Sandro Sávio Soares Fonseca</v>
          </cell>
          <cell r="J194" t="str">
            <v>Daiane Volff Ferreira</v>
          </cell>
          <cell r="K194">
            <v>46046</v>
          </cell>
          <cell r="L194">
            <v>66</v>
          </cell>
        </row>
        <row r="195">
          <cell r="A195" t="str">
            <v>066/2025</v>
          </cell>
          <cell r="B195">
            <v>1531183.69</v>
          </cell>
          <cell r="C195" t="str">
            <v>DE</v>
          </cell>
          <cell r="D195" t="str">
            <v>HIDREL ENGENHARIA LTDA</v>
          </cell>
          <cell r="E195" t="str">
            <v>Prestação de serviços comuns de engenharia e hidrogeologia em 03 (três) poços no município de Esperantinópolis e 03 (três) poços no município de Poção de Pedras.</v>
          </cell>
          <cell r="F195" t="str">
            <v>ARP n° 019/2023 – CAEMA - Pregão Eletrônico N.º 024/2023-PRE/CAEMA</v>
          </cell>
          <cell r="G195" t="str">
            <v>73.864.233/0001-06</v>
          </cell>
          <cell r="H195" t="str">
            <v>Portaria 433/2025</v>
          </cell>
          <cell r="I195" t="str">
            <v>Sandro Sávio Soares Fonseca</v>
          </cell>
          <cell r="J195" t="str">
            <v>Daiane Volff Ferreira</v>
          </cell>
          <cell r="K195">
            <v>46142</v>
          </cell>
          <cell r="L195">
            <v>162</v>
          </cell>
        </row>
        <row r="196">
          <cell r="A196" t="str">
            <v>067/2025</v>
          </cell>
          <cell r="B196">
            <v>614155.52000000002</v>
          </cell>
          <cell r="C196" t="str">
            <v>DE</v>
          </cell>
          <cell r="D196" t="str">
            <v>SÓ POÇOS CONSTRUÇÕES EIRELI</v>
          </cell>
          <cell r="E196" t="str">
            <v>Execução dos serviços específicos de engenharia e hidrogeologia, para perfuração de 01 (um) poço tubular profundo no Sistema de Abastecimento do Município de Açailândia/MA, pertencente à Gerência de Imperatriz/MA (Lote 04)</v>
          </cell>
          <cell r="F196" t="str">
            <v>PREGÃO ELETRÔNICO Nº 024/2023 - PRE/CAEMA, ATA DE REGISTRO DE PREÇOS N.º 022/2023 – CAEMA</v>
          </cell>
          <cell r="G196" t="str">
            <v>06.922.664.0001-94</v>
          </cell>
          <cell r="K196">
            <v>46136</v>
          </cell>
          <cell r="L196">
            <v>156</v>
          </cell>
        </row>
        <row r="197">
          <cell r="A197" t="str">
            <v>068/2025</v>
          </cell>
          <cell r="B197">
            <v>385800</v>
          </cell>
          <cell r="C197" t="str">
            <v>DG</v>
          </cell>
          <cell r="D197" t="str">
            <v>TRANSPORTES REQUINTE LTDA</v>
          </cell>
          <cell r="E197" t="str">
            <v>Contratação de empresa especializada para locação de 02(dois) ônibus para transporte coletivo de passageiros para o Sistema Produtor Italuís, sendo um ônibus rodoviário com capacidade para 44 (quarenta e quatro) passageiros e um micro-ônibus rodoviário com capacidade para 24 (vinte e quatro) passageiros, a fim de atender a demanda de deslocamento dos colaboradores da CAEMA.</v>
          </cell>
          <cell r="F197" t="str">
            <v>DISPENSA DE LICITAÇÃO</v>
          </cell>
          <cell r="G197" t="str">
            <v>06.077.708/0001-27</v>
          </cell>
          <cell r="H197" t="str">
            <v>Portaria 445/2025</v>
          </cell>
          <cell r="I197" t="str">
            <v>Adonias Lima Coelho</v>
          </cell>
          <cell r="J197" t="str">
            <v>Jurandir Pereira da Silva</v>
          </cell>
          <cell r="K197">
            <v>45957</v>
          </cell>
          <cell r="L197" t="e">
            <v>#NUM!</v>
          </cell>
        </row>
        <row r="198">
          <cell r="A198" t="str">
            <v>076/2024</v>
          </cell>
          <cell r="B198">
            <v>631739.76</v>
          </cell>
          <cell r="C198" t="str">
            <v>DO</v>
          </cell>
          <cell r="D198" t="str">
            <v>CENTRO DE BIOLOGIA EXPERIMENTAL OCEANUS</v>
          </cell>
          <cell r="E198" t="str">
            <v>Prestação de serviços de coleta, acondicionamento, transporte e ensaios físicos, químicos e microbiológicos dos afluentes e efluentes das estações de tratamento de esgotos de São Luís e Interior/MA</v>
          </cell>
          <cell r="F198" t="str">
            <v>Licitação Eletrônica n. º 013/2024-PRL/CAEMA</v>
          </cell>
          <cell r="G198" t="str">
            <v>28.383.198/0001-59</v>
          </cell>
          <cell r="H198" t="str">
            <v>Portaria 163/2025</v>
          </cell>
          <cell r="I198" t="str">
            <v>Karines Gomes Ericeira</v>
          </cell>
          <cell r="J198" t="str">
            <v>Jeanne Cruz Mendes Gonçalves/ James Vasconcelos da Silva/ Raimundo Marcio Sousa Simões/ Igor Pinto Souza</v>
          </cell>
          <cell r="K198">
            <v>46121</v>
          </cell>
          <cell r="L198">
            <v>141</v>
          </cell>
        </row>
      </sheetData>
    </sheetDataSet>
  </externalBook>
</externalLink>
</file>

<file path=xl/tables/table1.xml><?xml version="1.0" encoding="utf-8"?>
<table xmlns="http://schemas.openxmlformats.org/spreadsheetml/2006/main" id="5" name="Tabela1" displayName="Tabela1" ref="A1:G81" totalsRowCount="1" headerRowDxfId="30" dataDxfId="29">
  <autoFilter ref="A1:G80"/>
  <tableColumns count="7">
    <tableColumn id="1" name="CT" dataDxfId="28" totalsRowDxfId="27"/>
    <tableColumn id="2" name="DIRETORIA" dataDxfId="26" totalsRowDxfId="25"/>
    <tableColumn id="3" name="CONTRATADA" dataDxfId="24" totalsRowDxfId="23"/>
    <tableColumn id="4" name="OBJETO" dataDxfId="22" totalsRowDxfId="21"/>
    <tableColumn id="5" name="MODALIDADE" dataDxfId="20" totalsRowDxfId="19"/>
    <tableColumn id="6" name="CNPJ/CPF" dataDxfId="18" totalsRowDxfId="17"/>
    <tableColumn id="7" name="VALOR" totalsRowFunction="custom" dataDxfId="16" totalsRowDxfId="15">
      <calculatedColumnFormula>VLOOKUP(A2,[1]DETALHADA!$1:$1048576,2,0)</calculatedColumnFormula>
      <totalsRowFormula>SUM(G2:G80)</totalsRowFormula>
    </tableColumn>
  </tableColumns>
  <tableStyleInfo name="TableStyleMedium3" showFirstColumn="0" showLastColumn="0" showRowStripes="1" showColumnStripes="0"/>
</table>
</file>

<file path=xl/tables/table2.xml><?xml version="1.0" encoding="utf-8"?>
<table xmlns="http://schemas.openxmlformats.org/spreadsheetml/2006/main" id="6" name="Tabela17" displayName="Tabela17" ref="A1:J2" insertRow="1" totalsRowShown="0" headerRowDxfId="14" dataDxfId="12" headerRowBorderDxfId="13" tableBorderDxfId="11" totalsRowBorderDxfId="10">
  <autoFilter ref="A1:J2"/>
  <tableColumns count="10">
    <tableColumn id="1" name="ITEM" dataDxfId="9"/>
    <tableColumn id="2" name="TIPO DE CONTRATAÇÃO" dataDxfId="8"/>
    <tableColumn id="3" name="UNIDADE DEMANDANTE" dataDxfId="7"/>
    <tableColumn id="4" name="OBJETO" dataDxfId="6"/>
    <tableColumn id="5" name="JUSTIFICATIVA " dataDxfId="5"/>
    <tableColumn id="6" name="PREVISÃO DE INICIO DA NOVA CONTRATAÇÃO" dataDxfId="4"/>
    <tableColumn id="7" name="ESTIMATIVA DE VALOR" dataDxfId="3"/>
    <tableColumn id="8" name="DOTAÇÃO ORÇAMENTÁRIA PREVISTA PARA 2026" dataDxfId="2"/>
    <tableColumn id="9" name="GRAU DE PRIORIDADE" dataDxfId="1"/>
    <tableColumn id="10" name="VINCULAÇÃO OU DEPENDÊNCIA DE OUTRO ITEM" dataDxfId="0"/>
  </tableColumns>
  <tableStyleInfo name="TableStyleLight10"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7"/>
  <sheetViews>
    <sheetView workbookViewId="0">
      <selection activeCell="C12" sqref="C12"/>
    </sheetView>
  </sheetViews>
  <sheetFormatPr defaultRowHeight="15" x14ac:dyDescent="0.25"/>
  <cols>
    <col min="2" max="2" width="50.28515625" customWidth="1"/>
    <col min="3" max="5" width="42.28515625" customWidth="1"/>
    <col min="6" max="6" width="49.5703125" customWidth="1"/>
    <col min="7" max="7" width="10.85546875" customWidth="1"/>
  </cols>
  <sheetData>
    <row r="3" spans="1:6" ht="32.25" customHeight="1" x14ac:dyDescent="0.25">
      <c r="A3" t="s">
        <v>502</v>
      </c>
      <c r="B3" s="84" t="s">
        <v>493</v>
      </c>
      <c r="C3" s="84"/>
      <c r="D3" s="84"/>
      <c r="E3" s="84"/>
      <c r="F3" s="84"/>
    </row>
    <row r="4" spans="1:6" ht="32.25" customHeight="1" x14ac:dyDescent="0.25">
      <c r="B4" s="73" t="s">
        <v>0</v>
      </c>
      <c r="C4" s="73" t="s">
        <v>491</v>
      </c>
      <c r="D4" s="73" t="s">
        <v>490</v>
      </c>
      <c r="E4" s="73" t="s">
        <v>500</v>
      </c>
      <c r="F4" s="73" t="s">
        <v>501</v>
      </c>
    </row>
    <row r="5" spans="1:6" x14ac:dyDescent="0.25">
      <c r="B5" s="74" t="s">
        <v>494</v>
      </c>
      <c r="C5" s="81">
        <v>1066000</v>
      </c>
      <c r="D5" s="81">
        <v>10568000</v>
      </c>
      <c r="E5" s="81">
        <f>SUM(C5:D5)</f>
        <v>11634000</v>
      </c>
      <c r="F5" s="76">
        <v>12000000</v>
      </c>
    </row>
    <row r="6" spans="1:6" x14ac:dyDescent="0.25">
      <c r="B6" s="82" t="s">
        <v>495</v>
      </c>
      <c r="C6" s="83">
        <v>4913124.21</v>
      </c>
      <c r="D6" s="83">
        <v>97018077.540000007</v>
      </c>
      <c r="E6" s="83">
        <f>SUM(C6:D6)</f>
        <v>101931201.75</v>
      </c>
      <c r="F6" s="77">
        <v>575471133.88999999</v>
      </c>
    </row>
    <row r="7" spans="1:6" x14ac:dyDescent="0.25">
      <c r="B7" s="82" t="s">
        <v>496</v>
      </c>
      <c r="C7" s="83">
        <v>40963724.120000005</v>
      </c>
      <c r="D7" s="83">
        <v>257867000</v>
      </c>
      <c r="E7" s="83">
        <f t="shared" ref="E7:E9" si="0">SUM(C7:D7)</f>
        <v>298830724.12</v>
      </c>
      <c r="F7" s="77">
        <v>321402873.36000001</v>
      </c>
    </row>
    <row r="8" spans="1:6" x14ac:dyDescent="0.25">
      <c r="B8" s="74" t="s">
        <v>497</v>
      </c>
      <c r="C8" s="81">
        <v>25000</v>
      </c>
      <c r="D8" s="81">
        <v>128511322.98999999</v>
      </c>
      <c r="E8" s="81">
        <f t="shared" si="0"/>
        <v>128536322.98999999</v>
      </c>
      <c r="F8" s="76">
        <v>138536322.99000001</v>
      </c>
    </row>
    <row r="9" spans="1:6" x14ac:dyDescent="0.25">
      <c r="B9" s="74" t="s">
        <v>498</v>
      </c>
      <c r="C9" s="81">
        <v>2044898.59</v>
      </c>
      <c r="D9" s="81">
        <v>22514303.68</v>
      </c>
      <c r="E9" s="81">
        <f t="shared" si="0"/>
        <v>24559202.27</v>
      </c>
      <c r="F9" s="76">
        <v>24559202.27</v>
      </c>
    </row>
    <row r="10" spans="1:6" ht="15.75" thickBot="1" x14ac:dyDescent="0.3">
      <c r="A10" t="s">
        <v>502</v>
      </c>
      <c r="B10" s="79" t="s">
        <v>492</v>
      </c>
      <c r="C10" s="80"/>
      <c r="D10" s="80"/>
      <c r="E10" s="75">
        <f>SUM(E5:E9)</f>
        <v>565491451.13</v>
      </c>
      <c r="F10" s="78">
        <f>SUM(F5:F9)</f>
        <v>1071969532.51</v>
      </c>
    </row>
    <row r="27" spans="3:3" x14ac:dyDescent="0.25">
      <c r="C27" t="s">
        <v>499</v>
      </c>
    </row>
  </sheetData>
  <mergeCells count="1">
    <mergeCell ref="B3:F3"/>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tabSelected="1" topLeftCell="C1" workbookViewId="0">
      <pane xSplit="1" ySplit="1" topLeftCell="D2" activePane="bottomRight" state="frozen"/>
      <selection activeCell="C1" sqref="C1"/>
      <selection pane="topRight" activeCell="D1" sqref="D1"/>
      <selection pane="bottomLeft" activeCell="C2" sqref="C2"/>
      <selection pane="bottomRight" activeCell="C8" sqref="C8"/>
    </sheetView>
  </sheetViews>
  <sheetFormatPr defaultRowHeight="15" x14ac:dyDescent="0.25"/>
  <cols>
    <col min="1" max="1" width="16.5703125" customWidth="1"/>
    <col min="2" max="2" width="15.28515625" customWidth="1"/>
    <col min="3" max="3" width="74" bestFit="1" customWidth="1"/>
    <col min="4" max="4" width="81.7109375" customWidth="1"/>
    <col min="5" max="5" width="64.5703125" bestFit="1" customWidth="1"/>
    <col min="6" max="6" width="18.140625" bestFit="1" customWidth="1"/>
    <col min="7" max="7" width="16.85546875" bestFit="1" customWidth="1"/>
  </cols>
  <sheetData>
    <row r="1" spans="1:7" x14ac:dyDescent="0.25">
      <c r="A1" s="2" t="s">
        <v>6</v>
      </c>
      <c r="B1" s="2" t="s">
        <v>0</v>
      </c>
      <c r="C1" s="2" t="s">
        <v>7</v>
      </c>
      <c r="D1" s="3" t="s">
        <v>8</v>
      </c>
      <c r="E1" s="4" t="s">
        <v>9</v>
      </c>
      <c r="F1" s="4" t="s">
        <v>10</v>
      </c>
      <c r="G1" s="2" t="s">
        <v>11</v>
      </c>
    </row>
    <row r="2" spans="1:7" ht="30" x14ac:dyDescent="0.25">
      <c r="A2" s="2" t="s">
        <v>12</v>
      </c>
      <c r="B2" s="2" t="s">
        <v>4</v>
      </c>
      <c r="C2" s="2" t="s">
        <v>13</v>
      </c>
      <c r="D2" s="3" t="s">
        <v>14</v>
      </c>
      <c r="E2" s="4" t="s">
        <v>15</v>
      </c>
      <c r="F2" s="4" t="s">
        <v>16</v>
      </c>
      <c r="G2" s="5">
        <f>VLOOKUP(A2,[1]DETALHADA!$1:$1048576,2,0)</f>
        <v>202500</v>
      </c>
    </row>
    <row r="3" spans="1:7" x14ac:dyDescent="0.25">
      <c r="A3" s="2" t="s">
        <v>17</v>
      </c>
      <c r="B3" s="2" t="s">
        <v>18</v>
      </c>
      <c r="C3" s="2" t="s">
        <v>19</v>
      </c>
      <c r="D3" s="3" t="s">
        <v>20</v>
      </c>
      <c r="E3" s="4" t="s">
        <v>21</v>
      </c>
      <c r="F3" s="4" t="s">
        <v>22</v>
      </c>
      <c r="G3" s="5">
        <v>9514.15</v>
      </c>
    </row>
    <row r="4" spans="1:7" ht="60" x14ac:dyDescent="0.25">
      <c r="A4" s="2" t="s">
        <v>23</v>
      </c>
      <c r="B4" s="2" t="s">
        <v>4</v>
      </c>
      <c r="C4" s="2" t="s">
        <v>24</v>
      </c>
      <c r="D4" s="3" t="s">
        <v>25</v>
      </c>
      <c r="E4" s="4" t="s">
        <v>26</v>
      </c>
      <c r="F4" s="4" t="s">
        <v>27</v>
      </c>
      <c r="G4" s="5">
        <f>VLOOKUP(A4,[1]DETALHADA!$1:$1048576,2,0)</f>
        <v>294791</v>
      </c>
    </row>
    <row r="5" spans="1:7" ht="30" x14ac:dyDescent="0.25">
      <c r="A5" s="2" t="s">
        <v>28</v>
      </c>
      <c r="B5" s="2" t="s">
        <v>18</v>
      </c>
      <c r="C5" s="2" t="s">
        <v>29</v>
      </c>
      <c r="D5" s="3" t="s">
        <v>30</v>
      </c>
      <c r="E5" s="4" t="s">
        <v>31</v>
      </c>
      <c r="F5" s="4" t="s">
        <v>32</v>
      </c>
      <c r="G5" s="5">
        <f>VLOOKUP(A5,[1]DETALHADA!$1:$1048576,2,0)</f>
        <v>26401.439999999999</v>
      </c>
    </row>
    <row r="6" spans="1:7" ht="30" x14ac:dyDescent="0.25">
      <c r="A6" s="2" t="s">
        <v>33</v>
      </c>
      <c r="B6" s="2" t="s">
        <v>4</v>
      </c>
      <c r="C6" s="2" t="s">
        <v>34</v>
      </c>
      <c r="D6" s="3" t="s">
        <v>35</v>
      </c>
      <c r="E6" s="4" t="s">
        <v>36</v>
      </c>
      <c r="F6" s="4" t="s">
        <v>37</v>
      </c>
      <c r="G6" s="5">
        <f>VLOOKUP(A6,[1]DETALHADA!$1:$1048576,2,0)</f>
        <v>49800</v>
      </c>
    </row>
    <row r="7" spans="1:7" ht="30" x14ac:dyDescent="0.25">
      <c r="A7" s="2" t="s">
        <v>38</v>
      </c>
      <c r="B7" s="2" t="s">
        <v>4</v>
      </c>
      <c r="C7" s="2" t="s">
        <v>39</v>
      </c>
      <c r="D7" s="3" t="s">
        <v>40</v>
      </c>
      <c r="E7" s="4" t="s">
        <v>36</v>
      </c>
      <c r="F7" s="4" t="s">
        <v>41</v>
      </c>
      <c r="G7" s="5">
        <f>VLOOKUP(A7,[1]DETALHADA!$1:$1048576,2,0)</f>
        <v>0</v>
      </c>
    </row>
    <row r="8" spans="1:7" ht="30" x14ac:dyDescent="0.25">
      <c r="A8" s="2" t="s">
        <v>42</v>
      </c>
      <c r="B8" s="2" t="s">
        <v>18</v>
      </c>
      <c r="C8" s="2" t="s">
        <v>43</v>
      </c>
      <c r="D8" s="3" t="s">
        <v>44</v>
      </c>
      <c r="E8" s="4" t="s">
        <v>45</v>
      </c>
      <c r="F8" s="4" t="s">
        <v>46</v>
      </c>
      <c r="G8" s="5">
        <f>VLOOKUP(A8,[1]DETALHADA!$1:$1048576,2,0)</f>
        <v>5228.55</v>
      </c>
    </row>
    <row r="9" spans="1:7" ht="30" x14ac:dyDescent="0.25">
      <c r="A9" s="2" t="s">
        <v>47</v>
      </c>
      <c r="B9" s="2" t="s">
        <v>4</v>
      </c>
      <c r="C9" s="2" t="s">
        <v>48</v>
      </c>
      <c r="D9" s="3" t="s">
        <v>49</v>
      </c>
      <c r="E9" s="4" t="s">
        <v>50</v>
      </c>
      <c r="F9" s="4" t="s">
        <v>51</v>
      </c>
      <c r="G9" s="5">
        <f>VLOOKUP(A9,[1]DETALHADA!$1:$1048576,2,0)</f>
        <v>52571.97</v>
      </c>
    </row>
    <row r="10" spans="1:7" ht="30" x14ac:dyDescent="0.25">
      <c r="A10" s="2" t="s">
        <v>52</v>
      </c>
      <c r="B10" s="2" t="s">
        <v>18</v>
      </c>
      <c r="C10" s="2" t="s">
        <v>53</v>
      </c>
      <c r="D10" s="3" t="s">
        <v>54</v>
      </c>
      <c r="E10" s="4" t="s">
        <v>55</v>
      </c>
      <c r="F10" s="4" t="s">
        <v>56</v>
      </c>
      <c r="G10" s="5">
        <f>VLOOKUP(A10,[1]DETALHADA!$1:$1048576,2,0)</f>
        <v>14083.52</v>
      </c>
    </row>
    <row r="11" spans="1:7" ht="45" x14ac:dyDescent="0.25">
      <c r="A11" s="2" t="s">
        <v>57</v>
      </c>
      <c r="B11" s="2" t="s">
        <v>4</v>
      </c>
      <c r="C11" s="2" t="s">
        <v>58</v>
      </c>
      <c r="D11" s="3" t="s">
        <v>59</v>
      </c>
      <c r="E11" s="4" t="s">
        <v>60</v>
      </c>
      <c r="F11" s="4" t="s">
        <v>61</v>
      </c>
      <c r="G11" s="5">
        <f>VLOOKUP(A11,[1]DETALHADA!$1:$1048576,2,0)</f>
        <v>3680996.17</v>
      </c>
    </row>
    <row r="12" spans="1:7" ht="30" x14ac:dyDescent="0.25">
      <c r="A12" s="2" t="s">
        <v>62</v>
      </c>
      <c r="B12" s="2" t="s">
        <v>4</v>
      </c>
      <c r="C12" s="2" t="s">
        <v>63</v>
      </c>
      <c r="D12" s="3" t="s">
        <v>64</v>
      </c>
      <c r="E12" s="4" t="s">
        <v>65</v>
      </c>
      <c r="F12" s="4" t="s">
        <v>66</v>
      </c>
      <c r="G12" s="5">
        <f>VLOOKUP(A12,[1]DETALHADA!$1:$1048576,2,0)</f>
        <v>42339.98</v>
      </c>
    </row>
    <row r="13" spans="1:7" ht="30" x14ac:dyDescent="0.25">
      <c r="A13" s="2" t="s">
        <v>67</v>
      </c>
      <c r="B13" s="2" t="s">
        <v>4</v>
      </c>
      <c r="C13" s="2" t="s">
        <v>68</v>
      </c>
      <c r="D13" s="3" t="s">
        <v>40</v>
      </c>
      <c r="E13" s="4" t="s">
        <v>36</v>
      </c>
      <c r="F13" s="4" t="s">
        <v>69</v>
      </c>
      <c r="G13" s="5">
        <f>VLOOKUP(A13,[1]DETALHADA!$1:$1048576,2,0)</f>
        <v>480000</v>
      </c>
    </row>
    <row r="14" spans="1:7" ht="30" x14ac:dyDescent="0.25">
      <c r="A14" s="2" t="s">
        <v>70</v>
      </c>
      <c r="B14" s="2" t="s">
        <v>18</v>
      </c>
      <c r="C14" s="2" t="s">
        <v>71</v>
      </c>
      <c r="D14" s="3" t="s">
        <v>72</v>
      </c>
      <c r="E14" s="4" t="s">
        <v>73</v>
      </c>
      <c r="F14" s="4" t="s">
        <v>74</v>
      </c>
      <c r="G14" s="5">
        <f>VLOOKUP(A14,[1]DETALHADA!$1:$1048576,2,0)</f>
        <v>11039.79</v>
      </c>
    </row>
    <row r="15" spans="1:7" ht="45" x14ac:dyDescent="0.25">
      <c r="A15" s="2" t="s">
        <v>75</v>
      </c>
      <c r="B15" s="2" t="s">
        <v>4</v>
      </c>
      <c r="C15" s="2" t="s">
        <v>76</v>
      </c>
      <c r="D15" s="3" t="s">
        <v>77</v>
      </c>
      <c r="E15" s="4" t="s">
        <v>78</v>
      </c>
      <c r="F15" s="4" t="s">
        <v>79</v>
      </c>
      <c r="G15" s="5">
        <f>VLOOKUP(A15,[1]DETALHADA!$1:$1048576,2,0)</f>
        <v>46380</v>
      </c>
    </row>
    <row r="16" spans="1:7" ht="60" x14ac:dyDescent="0.25">
      <c r="A16" s="2" t="s">
        <v>80</v>
      </c>
      <c r="B16" s="2" t="s">
        <v>4</v>
      </c>
      <c r="C16" s="2" t="s">
        <v>81</v>
      </c>
      <c r="D16" s="3" t="s">
        <v>82</v>
      </c>
      <c r="E16" s="4" t="s">
        <v>83</v>
      </c>
      <c r="F16" s="4" t="s">
        <v>84</v>
      </c>
      <c r="G16" s="5">
        <f>VLOOKUP(A16,[1]DETALHADA!$1:$1048576,2,0)</f>
        <v>20899765.920000002</v>
      </c>
    </row>
    <row r="17" spans="1:7" ht="30" x14ac:dyDescent="0.25">
      <c r="A17" s="2" t="s">
        <v>85</v>
      </c>
      <c r="B17" s="2" t="s">
        <v>4</v>
      </c>
      <c r="C17" s="2" t="s">
        <v>86</v>
      </c>
      <c r="D17" s="3" t="s">
        <v>87</v>
      </c>
      <c r="E17" s="4" t="s">
        <v>88</v>
      </c>
      <c r="F17" s="4" t="s">
        <v>89</v>
      </c>
      <c r="G17" s="5">
        <f>VLOOKUP(A17,[1]DETALHADA!$1:$1048576,2,0)</f>
        <v>1420661.88</v>
      </c>
    </row>
    <row r="18" spans="1:7" ht="75" x14ac:dyDescent="0.25">
      <c r="A18" s="2" t="s">
        <v>90</v>
      </c>
      <c r="B18" s="2" t="s">
        <v>4</v>
      </c>
      <c r="C18" s="2" t="s">
        <v>91</v>
      </c>
      <c r="D18" s="3" t="s">
        <v>92</v>
      </c>
      <c r="E18" s="4" t="s">
        <v>93</v>
      </c>
      <c r="F18" s="4" t="s">
        <v>89</v>
      </c>
      <c r="G18" s="5">
        <f>VLOOKUP(A18,[1]DETALHADA!$1:$1048576,2,0)</f>
        <v>668777.85</v>
      </c>
    </row>
    <row r="19" spans="1:7" ht="60" x14ac:dyDescent="0.25">
      <c r="A19" s="2" t="s">
        <v>94</v>
      </c>
      <c r="B19" s="2" t="s">
        <v>4</v>
      </c>
      <c r="C19" s="2" t="s">
        <v>95</v>
      </c>
      <c r="D19" s="3" t="s">
        <v>96</v>
      </c>
      <c r="E19" s="4" t="s">
        <v>97</v>
      </c>
      <c r="F19" s="4" t="s">
        <v>98</v>
      </c>
      <c r="G19" s="5">
        <f>VLOOKUP(A19,[1]DETALHADA!$1:$1048576,2,0)</f>
        <v>48825</v>
      </c>
    </row>
    <row r="20" spans="1:7" ht="105" x14ac:dyDescent="0.25">
      <c r="A20" s="2" t="s">
        <v>99</v>
      </c>
      <c r="B20" s="2" t="s">
        <v>4</v>
      </c>
      <c r="C20" s="2" t="s">
        <v>100</v>
      </c>
      <c r="D20" s="3" t="s">
        <v>101</v>
      </c>
      <c r="E20" s="4" t="s">
        <v>102</v>
      </c>
      <c r="F20" s="4" t="s">
        <v>103</v>
      </c>
      <c r="G20" s="5">
        <f>VLOOKUP(A20,[1]DETALHADA!$1:$1048576,2,0)</f>
        <v>374332.1</v>
      </c>
    </row>
    <row r="21" spans="1:7" ht="60" x14ac:dyDescent="0.25">
      <c r="A21" s="2" t="s">
        <v>104</v>
      </c>
      <c r="B21" s="2" t="s">
        <v>4</v>
      </c>
      <c r="C21" s="2" t="s">
        <v>105</v>
      </c>
      <c r="D21" s="3" t="s">
        <v>106</v>
      </c>
      <c r="E21" s="4" t="s">
        <v>107</v>
      </c>
      <c r="F21" s="4" t="s">
        <v>108</v>
      </c>
      <c r="G21" s="5">
        <f>VLOOKUP(A21,[1]DETALHADA!$1:$1048576,2,0)</f>
        <v>75000</v>
      </c>
    </row>
    <row r="22" spans="1:7" ht="30" x14ac:dyDescent="0.25">
      <c r="A22" s="2" t="s">
        <v>109</v>
      </c>
      <c r="B22" s="2" t="s">
        <v>18</v>
      </c>
      <c r="C22" s="2" t="s">
        <v>110</v>
      </c>
      <c r="D22" s="3" t="s">
        <v>111</v>
      </c>
      <c r="E22" s="4" t="s">
        <v>112</v>
      </c>
      <c r="F22" s="4" t="s">
        <v>113</v>
      </c>
      <c r="G22" s="5">
        <f>VLOOKUP(A22,[1]DETALHADA!$1:$1048576,2,0)</f>
        <v>13200</v>
      </c>
    </row>
    <row r="23" spans="1:7" x14ac:dyDescent="0.25">
      <c r="A23" s="2" t="s">
        <v>114</v>
      </c>
      <c r="B23" s="2" t="s">
        <v>4</v>
      </c>
      <c r="C23" s="2" t="s">
        <v>115</v>
      </c>
      <c r="D23" s="3" t="s">
        <v>116</v>
      </c>
      <c r="E23" s="4" t="s">
        <v>117</v>
      </c>
      <c r="F23" s="4">
        <v>8953969000199</v>
      </c>
      <c r="G23" s="5">
        <f>VLOOKUP(A23,[1]DETALHADA!$1:$1048576,2,0)</f>
        <v>155889.01999999999</v>
      </c>
    </row>
    <row r="24" spans="1:7" ht="30" x14ac:dyDescent="0.25">
      <c r="A24" s="2" t="s">
        <v>118</v>
      </c>
      <c r="B24" s="2" t="s">
        <v>4</v>
      </c>
      <c r="C24" s="2" t="s">
        <v>119</v>
      </c>
      <c r="D24" s="3" t="s">
        <v>120</v>
      </c>
      <c r="E24" s="4" t="s">
        <v>117</v>
      </c>
      <c r="F24" s="4" t="s">
        <v>121</v>
      </c>
      <c r="G24" s="5">
        <f>VLOOKUP(A24,[1]DETALHADA!$1:$1048576,2,0)</f>
        <v>89592.54</v>
      </c>
    </row>
    <row r="25" spans="1:7" ht="30" x14ac:dyDescent="0.25">
      <c r="A25" s="2" t="s">
        <v>122</v>
      </c>
      <c r="B25" s="2" t="s">
        <v>18</v>
      </c>
      <c r="C25" s="2" t="s">
        <v>123</v>
      </c>
      <c r="D25" s="3" t="s">
        <v>124</v>
      </c>
      <c r="E25" s="4" t="s">
        <v>125</v>
      </c>
      <c r="F25" s="4" t="s">
        <v>126</v>
      </c>
      <c r="G25" s="5">
        <f>VLOOKUP(A25,[1]DETALHADA!$1:$1048576,2,0)</f>
        <v>14640</v>
      </c>
    </row>
    <row r="26" spans="1:7" ht="30" x14ac:dyDescent="0.25">
      <c r="A26" s="2" t="s">
        <v>127</v>
      </c>
      <c r="B26" s="2" t="s">
        <v>4</v>
      </c>
      <c r="C26" s="2" t="s">
        <v>128</v>
      </c>
      <c r="D26" s="3" t="s">
        <v>129</v>
      </c>
      <c r="E26" s="4" t="s">
        <v>130</v>
      </c>
      <c r="F26" s="4" t="s">
        <v>131</v>
      </c>
      <c r="G26" s="5">
        <f>VLOOKUP(A26,[1]DETALHADA!$1:$1048576,2,0)</f>
        <v>50000</v>
      </c>
    </row>
    <row r="27" spans="1:7" x14ac:dyDescent="0.25">
      <c r="A27" s="2" t="s">
        <v>132</v>
      </c>
      <c r="B27" s="2" t="s">
        <v>4</v>
      </c>
      <c r="C27" s="2" t="s">
        <v>133</v>
      </c>
      <c r="D27" s="3" t="s">
        <v>134</v>
      </c>
      <c r="E27" s="4" t="s">
        <v>135</v>
      </c>
      <c r="F27" s="4" t="s">
        <v>136</v>
      </c>
      <c r="G27" s="5">
        <f>VLOOKUP(A27,[1]DETALHADA!$1:$1048576,2,0)</f>
        <v>53757.21</v>
      </c>
    </row>
    <row r="28" spans="1:7" x14ac:dyDescent="0.25">
      <c r="A28" s="2" t="s">
        <v>137</v>
      </c>
      <c r="B28" s="2" t="s">
        <v>18</v>
      </c>
      <c r="C28" s="2" t="s">
        <v>138</v>
      </c>
      <c r="D28" s="3" t="s">
        <v>139</v>
      </c>
      <c r="E28" s="4" t="s">
        <v>140</v>
      </c>
      <c r="F28" s="4" t="s">
        <v>141</v>
      </c>
      <c r="G28" s="5">
        <f>VLOOKUP(A28,[1]DETALHADA!$1:$1048576,2,0)</f>
        <v>4508.8599999999997</v>
      </c>
    </row>
    <row r="29" spans="1:7" ht="45" x14ac:dyDescent="0.25">
      <c r="A29" s="2" t="s">
        <v>142</v>
      </c>
      <c r="B29" s="2" t="s">
        <v>4</v>
      </c>
      <c r="C29" s="2" t="s">
        <v>143</v>
      </c>
      <c r="D29" s="3" t="s">
        <v>144</v>
      </c>
      <c r="E29" s="4" t="s">
        <v>145</v>
      </c>
      <c r="F29" s="4" t="s">
        <v>146</v>
      </c>
      <c r="G29" s="5">
        <f>VLOOKUP(A29,[1]DETALHADA!$1:$1048576,2,0)</f>
        <v>245046.6</v>
      </c>
    </row>
    <row r="30" spans="1:7" ht="30" x14ac:dyDescent="0.25">
      <c r="A30" s="2" t="s">
        <v>147</v>
      </c>
      <c r="B30" s="2" t="s">
        <v>4</v>
      </c>
      <c r="C30" s="2" t="s">
        <v>148</v>
      </c>
      <c r="D30" s="3" t="s">
        <v>149</v>
      </c>
      <c r="E30" s="4" t="s">
        <v>150</v>
      </c>
      <c r="F30" s="4" t="s">
        <v>151</v>
      </c>
      <c r="G30" s="5">
        <f>VLOOKUP(A30,[1]DETALHADA!$1:$1048576,2,0)</f>
        <v>274645.17</v>
      </c>
    </row>
    <row r="31" spans="1:7" ht="60" x14ac:dyDescent="0.25">
      <c r="A31" s="2" t="s">
        <v>152</v>
      </c>
      <c r="B31" s="2" t="s">
        <v>18</v>
      </c>
      <c r="C31" s="2" t="s">
        <v>153</v>
      </c>
      <c r="D31" s="3" t="s">
        <v>154</v>
      </c>
      <c r="E31" s="4" t="s">
        <v>155</v>
      </c>
      <c r="F31" s="4" t="s">
        <v>156</v>
      </c>
      <c r="G31" s="5">
        <f>VLOOKUP(A31,[1]DETALHADA!$1:$1048576,2,0)</f>
        <v>9981.61</v>
      </c>
    </row>
    <row r="32" spans="1:7" ht="30" x14ac:dyDescent="0.25">
      <c r="A32" s="2" t="s">
        <v>157</v>
      </c>
      <c r="B32" s="2" t="s">
        <v>4</v>
      </c>
      <c r="C32" s="2" t="s">
        <v>158</v>
      </c>
      <c r="D32" s="3" t="s">
        <v>159</v>
      </c>
      <c r="E32" s="4" t="s">
        <v>160</v>
      </c>
      <c r="F32" s="4" t="s">
        <v>161</v>
      </c>
      <c r="G32" s="5">
        <f>VLOOKUP(A32,[1]DETALHADA!$1:$1048576,2,0)</f>
        <v>21375</v>
      </c>
    </row>
    <row r="33" spans="1:7" ht="45" x14ac:dyDescent="0.25">
      <c r="A33" s="2" t="s">
        <v>162</v>
      </c>
      <c r="B33" s="2" t="s">
        <v>4</v>
      </c>
      <c r="C33" s="2" t="s">
        <v>163</v>
      </c>
      <c r="D33" s="3" t="s">
        <v>164</v>
      </c>
      <c r="E33" s="4" t="s">
        <v>165</v>
      </c>
      <c r="F33" s="4" t="s">
        <v>166</v>
      </c>
      <c r="G33" s="5">
        <f>VLOOKUP(A33,[1]DETALHADA!$1:$1048576,2,0)</f>
        <v>47000</v>
      </c>
    </row>
    <row r="34" spans="1:7" ht="75" x14ac:dyDescent="0.25">
      <c r="A34" s="2" t="s">
        <v>167</v>
      </c>
      <c r="B34" s="2" t="s">
        <v>4</v>
      </c>
      <c r="C34" s="2" t="s">
        <v>168</v>
      </c>
      <c r="D34" s="3" t="s">
        <v>169</v>
      </c>
      <c r="E34" s="4" t="s">
        <v>170</v>
      </c>
      <c r="F34" s="4" t="s">
        <v>171</v>
      </c>
      <c r="G34" s="5">
        <f>VLOOKUP(A34,[1]DETALHADA!$1:$1048576,2,0)</f>
        <v>268681.75</v>
      </c>
    </row>
    <row r="35" spans="1:7" ht="30" x14ac:dyDescent="0.25">
      <c r="A35" s="2" t="s">
        <v>172</v>
      </c>
      <c r="B35" s="2" t="s">
        <v>4</v>
      </c>
      <c r="C35" s="2" t="s">
        <v>173</v>
      </c>
      <c r="D35" s="3" t="s">
        <v>174</v>
      </c>
      <c r="E35" s="4" t="s">
        <v>175</v>
      </c>
      <c r="F35" s="4" t="s">
        <v>176</v>
      </c>
      <c r="G35" s="5">
        <f>VLOOKUP(A35,[1]DETALHADA!$1:$1048576,2,0)</f>
        <v>37019851.390000001</v>
      </c>
    </row>
    <row r="36" spans="1:7" x14ac:dyDescent="0.25">
      <c r="A36" s="2" t="s">
        <v>177</v>
      </c>
      <c r="B36" s="2" t="s">
        <v>4</v>
      </c>
      <c r="C36" s="2" t="s">
        <v>178</v>
      </c>
      <c r="D36" s="3" t="s">
        <v>179</v>
      </c>
      <c r="E36" s="4" t="s">
        <v>180</v>
      </c>
      <c r="F36" s="4" t="s">
        <v>181</v>
      </c>
      <c r="G36" s="5">
        <f>VLOOKUP(A36,[1]DETALHADA!$1:$1048576,2,0)</f>
        <v>97901.16</v>
      </c>
    </row>
    <row r="37" spans="1:7" ht="75" x14ac:dyDescent="0.25">
      <c r="A37" s="2" t="s">
        <v>182</v>
      </c>
      <c r="B37" s="2" t="s">
        <v>4</v>
      </c>
      <c r="C37" s="2" t="s">
        <v>183</v>
      </c>
      <c r="D37" s="3" t="s">
        <v>184</v>
      </c>
      <c r="E37" s="4" t="s">
        <v>26</v>
      </c>
      <c r="F37" s="4" t="s">
        <v>185</v>
      </c>
      <c r="G37" s="5">
        <f>VLOOKUP(A37,[1]DETALHADA!$1:$1048576,2,0)</f>
        <v>864000</v>
      </c>
    </row>
    <row r="38" spans="1:7" x14ac:dyDescent="0.25">
      <c r="A38" s="2" t="s">
        <v>177</v>
      </c>
      <c r="B38" s="2" t="s">
        <v>4</v>
      </c>
      <c r="C38" s="2" t="s">
        <v>186</v>
      </c>
      <c r="D38" s="3" t="s">
        <v>179</v>
      </c>
      <c r="E38" s="4" t="s">
        <v>180</v>
      </c>
      <c r="F38" s="4" t="s">
        <v>181</v>
      </c>
      <c r="G38" s="5">
        <f>VLOOKUP(A38,[1]DETALHADA!$1:$1048576,2,0)</f>
        <v>97901.16</v>
      </c>
    </row>
    <row r="39" spans="1:7" ht="75" x14ac:dyDescent="0.25">
      <c r="A39" s="2" t="s">
        <v>187</v>
      </c>
      <c r="B39" s="2" t="s">
        <v>4</v>
      </c>
      <c r="C39" s="2" t="s">
        <v>188</v>
      </c>
      <c r="D39" s="3" t="s">
        <v>189</v>
      </c>
      <c r="E39" s="4" t="s">
        <v>190</v>
      </c>
      <c r="F39" s="4" t="s">
        <v>191</v>
      </c>
      <c r="G39" s="5">
        <f>VLOOKUP(A39,[1]DETALHADA!$1:$1048576,2,0)</f>
        <v>1343496</v>
      </c>
    </row>
    <row r="40" spans="1:7" ht="30" x14ac:dyDescent="0.25">
      <c r="A40" s="2" t="s">
        <v>192</v>
      </c>
      <c r="B40" s="2" t="s">
        <v>4</v>
      </c>
      <c r="C40" s="2" t="s">
        <v>193</v>
      </c>
      <c r="D40" s="3" t="s">
        <v>194</v>
      </c>
      <c r="E40" s="4" t="s">
        <v>36</v>
      </c>
      <c r="F40" s="4" t="s">
        <v>195</v>
      </c>
      <c r="G40" s="5">
        <f>VLOOKUP(A40,[1]DETALHADA!$1:$1048576,2,0)</f>
        <v>0</v>
      </c>
    </row>
    <row r="41" spans="1:7" ht="60" x14ac:dyDescent="0.25">
      <c r="A41" s="2" t="s">
        <v>196</v>
      </c>
      <c r="B41" s="2" t="s">
        <v>4</v>
      </c>
      <c r="C41" s="2" t="s">
        <v>197</v>
      </c>
      <c r="D41" s="3" t="s">
        <v>198</v>
      </c>
      <c r="E41" s="4" t="s">
        <v>199</v>
      </c>
      <c r="F41" s="4" t="s">
        <v>200</v>
      </c>
      <c r="G41" s="5">
        <f>VLOOKUP(A41,[1]DETALHADA!$1:$1048576,2,0)</f>
        <v>1643564</v>
      </c>
    </row>
    <row r="42" spans="1:7" ht="60" x14ac:dyDescent="0.25">
      <c r="A42" s="2" t="s">
        <v>201</v>
      </c>
      <c r="B42" s="2" t="s">
        <v>4</v>
      </c>
      <c r="C42" s="2" t="s">
        <v>202</v>
      </c>
      <c r="D42" s="3" t="s">
        <v>203</v>
      </c>
      <c r="E42" s="4" t="s">
        <v>204</v>
      </c>
      <c r="F42" s="4" t="s">
        <v>205</v>
      </c>
      <c r="G42" s="5">
        <f>VLOOKUP(A42,[1]DETALHADA!$1:$1048576,2,0)</f>
        <v>112126.72</v>
      </c>
    </row>
    <row r="43" spans="1:7" ht="105" x14ac:dyDescent="0.25">
      <c r="A43" s="2" t="s">
        <v>206</v>
      </c>
      <c r="B43" s="2" t="s">
        <v>4</v>
      </c>
      <c r="C43" s="2" t="s">
        <v>207</v>
      </c>
      <c r="D43" s="3" t="s">
        <v>208</v>
      </c>
      <c r="E43" s="4" t="s">
        <v>209</v>
      </c>
      <c r="F43" s="4" t="s">
        <v>210</v>
      </c>
      <c r="G43" s="5">
        <f>VLOOKUP(A43,[1]DETALHADA!$1:$1048576,2,0)</f>
        <v>0</v>
      </c>
    </row>
    <row r="44" spans="1:7" ht="30" x14ac:dyDescent="0.25">
      <c r="A44" s="2" t="s">
        <v>211</v>
      </c>
      <c r="B44" s="2" t="s">
        <v>18</v>
      </c>
      <c r="C44" s="2" t="s">
        <v>212</v>
      </c>
      <c r="D44" s="3" t="s">
        <v>213</v>
      </c>
      <c r="E44" s="4" t="s">
        <v>214</v>
      </c>
      <c r="F44" s="4" t="s">
        <v>215</v>
      </c>
      <c r="G44" s="5">
        <f>VLOOKUP(A44,[1]DETALHADA!$1:$1048576,2,0)</f>
        <v>11110.92</v>
      </c>
    </row>
    <row r="45" spans="1:7" ht="30" x14ac:dyDescent="0.25">
      <c r="A45" s="2" t="s">
        <v>216</v>
      </c>
      <c r="B45" s="2" t="s">
        <v>18</v>
      </c>
      <c r="C45" s="2" t="s">
        <v>217</v>
      </c>
      <c r="D45" s="3" t="s">
        <v>218</v>
      </c>
      <c r="E45" s="4" t="s">
        <v>219</v>
      </c>
      <c r="F45" s="4" t="s">
        <v>220</v>
      </c>
      <c r="G45" s="5">
        <f>VLOOKUP(A45,[1]DETALHADA!$1:$1048576,2,0)</f>
        <v>11110.92</v>
      </c>
    </row>
    <row r="46" spans="1:7" ht="75" x14ac:dyDescent="0.25">
      <c r="A46" s="2" t="s">
        <v>221</v>
      </c>
      <c r="B46" s="2" t="s">
        <v>4</v>
      </c>
      <c r="C46" s="2" t="s">
        <v>222</v>
      </c>
      <c r="D46" s="3" t="s">
        <v>223</v>
      </c>
      <c r="E46" s="4" t="s">
        <v>224</v>
      </c>
      <c r="F46" s="4" t="s">
        <v>225</v>
      </c>
      <c r="G46" s="5">
        <f>VLOOKUP(A46,[1]DETALHADA!$1:$1048576,2,0)</f>
        <v>14504.42</v>
      </c>
    </row>
    <row r="47" spans="1:7" ht="30" x14ac:dyDescent="0.25">
      <c r="A47" s="2" t="s">
        <v>226</v>
      </c>
      <c r="B47" s="2" t="s">
        <v>18</v>
      </c>
      <c r="C47" s="2" t="s">
        <v>227</v>
      </c>
      <c r="D47" s="3" t="s">
        <v>228</v>
      </c>
      <c r="E47" s="4" t="s">
        <v>229</v>
      </c>
      <c r="F47" s="4" t="s">
        <v>230</v>
      </c>
      <c r="G47" s="5">
        <f>VLOOKUP(A47,[1]DETALHADA!$1:$1048576,2,0)</f>
        <v>9947.0400000000009</v>
      </c>
    </row>
    <row r="48" spans="1:7" ht="30" x14ac:dyDescent="0.25">
      <c r="A48" s="2" t="s">
        <v>231</v>
      </c>
      <c r="B48" s="2" t="s">
        <v>18</v>
      </c>
      <c r="C48" s="2" t="s">
        <v>232</v>
      </c>
      <c r="D48" s="3" t="s">
        <v>233</v>
      </c>
      <c r="E48" s="4" t="s">
        <v>234</v>
      </c>
      <c r="F48" s="4" t="s">
        <v>235</v>
      </c>
      <c r="G48" s="5">
        <f>VLOOKUP(A48,[1]DETALHADA!$1:$1048576,2,0)</f>
        <v>17407.2</v>
      </c>
    </row>
    <row r="49" spans="1:7" ht="75" x14ac:dyDescent="0.25">
      <c r="A49" s="2" t="s">
        <v>236</v>
      </c>
      <c r="B49" s="2" t="s">
        <v>4</v>
      </c>
      <c r="C49" s="2" t="s">
        <v>237</v>
      </c>
      <c r="D49" s="3" t="s">
        <v>238</v>
      </c>
      <c r="E49" s="4" t="s">
        <v>224</v>
      </c>
      <c r="F49" s="4" t="s">
        <v>239</v>
      </c>
      <c r="G49" s="5">
        <f>VLOOKUP(A49,[1]DETALHADA!$1:$1048576,2,0)</f>
        <v>1346047.85</v>
      </c>
    </row>
    <row r="50" spans="1:7" x14ac:dyDescent="0.25">
      <c r="A50" s="2" t="s">
        <v>240</v>
      </c>
      <c r="B50" s="2" t="s">
        <v>4</v>
      </c>
      <c r="C50" s="2" t="s">
        <v>241</v>
      </c>
      <c r="D50" s="3" t="s">
        <v>242</v>
      </c>
      <c r="E50" s="4" t="s">
        <v>243</v>
      </c>
      <c r="F50" s="4" t="s">
        <v>244</v>
      </c>
      <c r="G50" s="5">
        <f>VLOOKUP(A50,[1]DETALHADA!$1:$1048576,2,0)</f>
        <v>3822897.1</v>
      </c>
    </row>
    <row r="51" spans="1:7" ht="135" x14ac:dyDescent="0.25">
      <c r="A51" s="2" t="s">
        <v>245</v>
      </c>
      <c r="B51" s="2" t="s">
        <v>4</v>
      </c>
      <c r="C51" s="2" t="s">
        <v>188</v>
      </c>
      <c r="D51" s="3" t="s">
        <v>246</v>
      </c>
      <c r="E51" s="4" t="s">
        <v>247</v>
      </c>
      <c r="F51" s="4" t="s">
        <v>248</v>
      </c>
      <c r="G51" s="5">
        <f>VLOOKUP(A51,[1]DETALHADA!$1:$1048576,2,0)</f>
        <v>5946189</v>
      </c>
    </row>
    <row r="52" spans="1:7" ht="45" x14ac:dyDescent="0.25">
      <c r="A52" s="2" t="s">
        <v>249</v>
      </c>
      <c r="B52" s="2" t="s">
        <v>4</v>
      </c>
      <c r="C52" s="2" t="s">
        <v>250</v>
      </c>
      <c r="D52" s="3" t="s">
        <v>251</v>
      </c>
      <c r="E52" s="4" t="s">
        <v>252</v>
      </c>
      <c r="F52" s="4" t="s">
        <v>253</v>
      </c>
      <c r="G52" s="5">
        <f>VLOOKUP(A52,[1]DETALHADA!$1:$1048576,2,0)</f>
        <v>207320</v>
      </c>
    </row>
    <row r="53" spans="1:7" ht="45" x14ac:dyDescent="0.25">
      <c r="A53" s="2" t="s">
        <v>254</v>
      </c>
      <c r="B53" s="2" t="s">
        <v>4</v>
      </c>
      <c r="C53" s="2" t="s">
        <v>255</v>
      </c>
      <c r="D53" s="3" t="s">
        <v>256</v>
      </c>
      <c r="E53" s="4" t="s">
        <v>252</v>
      </c>
      <c r="F53" s="4" t="s">
        <v>257</v>
      </c>
      <c r="G53" s="5">
        <f>VLOOKUP(A53,[1]DETALHADA!$1:$1048576,2,0)</f>
        <v>109780</v>
      </c>
    </row>
    <row r="54" spans="1:7" ht="30" x14ac:dyDescent="0.25">
      <c r="A54" s="2" t="s">
        <v>258</v>
      </c>
      <c r="B54" s="2" t="s">
        <v>4</v>
      </c>
      <c r="C54" s="2" t="s">
        <v>259</v>
      </c>
      <c r="D54" s="3" t="s">
        <v>260</v>
      </c>
      <c r="E54" s="4" t="s">
        <v>261</v>
      </c>
      <c r="F54" s="4" t="s">
        <v>262</v>
      </c>
      <c r="G54" s="5">
        <f>VLOOKUP(A54,[1]DETALHADA!$1:$1048576,2,0)</f>
        <v>261000</v>
      </c>
    </row>
    <row r="55" spans="1:7" x14ac:dyDescent="0.25">
      <c r="A55" s="2" t="s">
        <v>263</v>
      </c>
      <c r="B55" s="2" t="s">
        <v>18</v>
      </c>
      <c r="C55" s="2" t="s">
        <v>264</v>
      </c>
      <c r="D55" s="3" t="s">
        <v>265</v>
      </c>
      <c r="E55" s="4" t="s">
        <v>155</v>
      </c>
      <c r="F55" s="4" t="s">
        <v>266</v>
      </c>
      <c r="G55" s="5">
        <f>VLOOKUP(A55,[1]DETALHADA!$1:$1048576,2,0)</f>
        <v>17204.88</v>
      </c>
    </row>
    <row r="56" spans="1:7" ht="30" x14ac:dyDescent="0.25">
      <c r="A56" s="2" t="s">
        <v>267</v>
      </c>
      <c r="B56" s="2" t="s">
        <v>4</v>
      </c>
      <c r="C56" s="2" t="s">
        <v>268</v>
      </c>
      <c r="D56" s="3" t="s">
        <v>269</v>
      </c>
      <c r="E56" s="4" t="s">
        <v>270</v>
      </c>
      <c r="F56" s="4" t="s">
        <v>271</v>
      </c>
      <c r="G56" s="5">
        <f>VLOOKUP(A56,[1]DETALHADA!$1:$1048576,2,0)</f>
        <v>252747</v>
      </c>
    </row>
    <row r="57" spans="1:7" ht="30" x14ac:dyDescent="0.25">
      <c r="A57" s="2" t="s">
        <v>272</v>
      </c>
      <c r="B57" s="2" t="s">
        <v>18</v>
      </c>
      <c r="C57" s="2" t="s">
        <v>273</v>
      </c>
      <c r="D57" s="3" t="s">
        <v>274</v>
      </c>
      <c r="E57" s="4" t="s">
        <v>275</v>
      </c>
      <c r="F57" s="4" t="s">
        <v>276</v>
      </c>
      <c r="G57" s="5">
        <f>VLOOKUP(A57,[1]DETALHADA!$1:$1048576,2,0)</f>
        <v>10642.8</v>
      </c>
    </row>
    <row r="58" spans="1:7" ht="60" x14ac:dyDescent="0.25">
      <c r="A58" s="2" t="s">
        <v>277</v>
      </c>
      <c r="B58" s="2" t="s">
        <v>4</v>
      </c>
      <c r="C58" s="2" t="s">
        <v>278</v>
      </c>
      <c r="D58" s="3" t="s">
        <v>279</v>
      </c>
      <c r="E58" s="4" t="s">
        <v>26</v>
      </c>
      <c r="F58" s="4" t="s">
        <v>280</v>
      </c>
      <c r="G58" s="5">
        <f>VLOOKUP(A58,[1]DETALHADA!$1:$1048576,2,0)</f>
        <v>28000</v>
      </c>
    </row>
    <row r="59" spans="1:7" ht="30" x14ac:dyDescent="0.25">
      <c r="A59" s="2" t="s">
        <v>281</v>
      </c>
      <c r="B59" s="2" t="s">
        <v>18</v>
      </c>
      <c r="C59" s="2" t="s">
        <v>282</v>
      </c>
      <c r="D59" s="3" t="s">
        <v>283</v>
      </c>
      <c r="E59" s="4" t="s">
        <v>284</v>
      </c>
      <c r="F59" s="4" t="s">
        <v>285</v>
      </c>
      <c r="G59" s="5">
        <f>VLOOKUP(A59,[1]DETALHADA!$1:$1048576,2,0)</f>
        <v>48000</v>
      </c>
    </row>
    <row r="60" spans="1:7" ht="30" x14ac:dyDescent="0.25">
      <c r="A60" s="2" t="s">
        <v>286</v>
      </c>
      <c r="B60" s="2" t="s">
        <v>4</v>
      </c>
      <c r="C60" s="2" t="s">
        <v>287</v>
      </c>
      <c r="D60" s="3" t="s">
        <v>288</v>
      </c>
      <c r="E60" s="4" t="s">
        <v>289</v>
      </c>
      <c r="F60" s="4" t="s">
        <v>290</v>
      </c>
      <c r="G60" s="5">
        <f>VLOOKUP(A60,[1]DETALHADA!$1:$1048576,2,0)</f>
        <v>20160</v>
      </c>
    </row>
    <row r="61" spans="1:7" ht="30" x14ac:dyDescent="0.25">
      <c r="A61" s="2" t="s">
        <v>291</v>
      </c>
      <c r="B61" s="2" t="s">
        <v>18</v>
      </c>
      <c r="C61" s="2" t="s">
        <v>292</v>
      </c>
      <c r="D61" s="3" t="s">
        <v>293</v>
      </c>
      <c r="E61" s="4" t="s">
        <v>294</v>
      </c>
      <c r="F61" s="4" t="s">
        <v>295</v>
      </c>
      <c r="G61" s="5">
        <f>VLOOKUP(A61,[1]DETALHADA!$1:$1048576,2,0)</f>
        <v>15600</v>
      </c>
    </row>
    <row r="62" spans="1:7" ht="30" x14ac:dyDescent="0.25">
      <c r="A62" s="2" t="s">
        <v>296</v>
      </c>
      <c r="B62" s="2" t="s">
        <v>18</v>
      </c>
      <c r="C62" s="2" t="s">
        <v>297</v>
      </c>
      <c r="D62" s="3" t="s">
        <v>298</v>
      </c>
      <c r="E62" s="4" t="s">
        <v>299</v>
      </c>
      <c r="F62" s="4" t="s">
        <v>300</v>
      </c>
      <c r="G62" s="5">
        <f>VLOOKUP(A62,[1]DETALHADA!$1:$1048576,2,0)</f>
        <v>24000</v>
      </c>
    </row>
    <row r="63" spans="1:7" x14ac:dyDescent="0.25">
      <c r="A63" s="2" t="s">
        <v>301</v>
      </c>
      <c r="B63" s="2" t="s">
        <v>18</v>
      </c>
      <c r="C63" s="2" t="s">
        <v>302</v>
      </c>
      <c r="D63" s="3" t="s">
        <v>303</v>
      </c>
      <c r="E63" s="4" t="s">
        <v>304</v>
      </c>
      <c r="F63" s="4" t="s">
        <v>305</v>
      </c>
      <c r="G63" s="5">
        <f>VLOOKUP(A63,[1]DETALHADA!$1:$1048576,2,0)</f>
        <v>12500.9</v>
      </c>
    </row>
    <row r="64" spans="1:7" ht="30" x14ac:dyDescent="0.25">
      <c r="A64" s="2" t="s">
        <v>306</v>
      </c>
      <c r="B64" s="2" t="s">
        <v>18</v>
      </c>
      <c r="C64" s="2" t="s">
        <v>307</v>
      </c>
      <c r="D64" s="3" t="s">
        <v>308</v>
      </c>
      <c r="E64" s="4" t="s">
        <v>309</v>
      </c>
      <c r="F64" s="4" t="s">
        <v>310</v>
      </c>
      <c r="G64" s="5">
        <f>VLOOKUP(A64,[1]DETALHADA!$1:$1048576,2,0)</f>
        <v>31321.200000000001</v>
      </c>
    </row>
    <row r="65" spans="1:7" ht="30" x14ac:dyDescent="0.25">
      <c r="A65" s="2" t="s">
        <v>311</v>
      </c>
      <c r="B65" s="2" t="s">
        <v>18</v>
      </c>
      <c r="C65" s="2" t="s">
        <v>312</v>
      </c>
      <c r="D65" s="3" t="s">
        <v>313</v>
      </c>
      <c r="E65" s="4" t="s">
        <v>314</v>
      </c>
      <c r="F65" s="4" t="s">
        <v>315</v>
      </c>
      <c r="G65" s="5">
        <f>VLOOKUP(A65,[1]DETALHADA!$1:$1048576,2,0)</f>
        <v>17852.400000000001</v>
      </c>
    </row>
    <row r="66" spans="1:7" ht="30" x14ac:dyDescent="0.25">
      <c r="A66" s="2" t="s">
        <v>316</v>
      </c>
      <c r="B66" s="2" t="s">
        <v>4</v>
      </c>
      <c r="C66" s="2" t="s">
        <v>317</v>
      </c>
      <c r="D66" s="3" t="s">
        <v>318</v>
      </c>
      <c r="E66" s="4" t="s">
        <v>319</v>
      </c>
      <c r="F66" s="4" t="s">
        <v>320</v>
      </c>
      <c r="G66" s="5" t="str">
        <f>VLOOKUP(A66,[1]DETALHADA!$1:$1048576,2,0)</f>
        <v>POR DEMANDA</v>
      </c>
    </row>
    <row r="67" spans="1:7" ht="60" x14ac:dyDescent="0.25">
      <c r="A67" s="2" t="s">
        <v>321</v>
      </c>
      <c r="B67" s="2" t="s">
        <v>4</v>
      </c>
      <c r="C67" s="2" t="s">
        <v>322</v>
      </c>
      <c r="D67" s="3" t="s">
        <v>323</v>
      </c>
      <c r="E67" s="4" t="s">
        <v>155</v>
      </c>
      <c r="F67" s="2" t="s">
        <v>324</v>
      </c>
      <c r="G67" s="5">
        <f>VLOOKUP(A67,[1]DETALHADA!$1:$1048576,2,0)</f>
        <v>49655</v>
      </c>
    </row>
    <row r="68" spans="1:7" ht="45" x14ac:dyDescent="0.25">
      <c r="A68" s="2" t="s">
        <v>325</v>
      </c>
      <c r="B68" s="2" t="s">
        <v>4</v>
      </c>
      <c r="C68" s="2" t="s">
        <v>326</v>
      </c>
      <c r="D68" s="3" t="s">
        <v>327</v>
      </c>
      <c r="E68" s="4" t="s">
        <v>155</v>
      </c>
      <c r="F68" s="2" t="s">
        <v>328</v>
      </c>
      <c r="G68" s="5">
        <f>VLOOKUP(A68,[1]DETALHADA!$1:$1048576,2,0)</f>
        <v>54474</v>
      </c>
    </row>
    <row r="69" spans="1:7" ht="30" x14ac:dyDescent="0.25">
      <c r="A69" s="2" t="s">
        <v>329</v>
      </c>
      <c r="B69" s="2" t="s">
        <v>4</v>
      </c>
      <c r="C69" s="2" t="s">
        <v>330</v>
      </c>
      <c r="D69" s="3" t="s">
        <v>331</v>
      </c>
      <c r="E69" s="4" t="s">
        <v>332</v>
      </c>
      <c r="F69" s="2" t="s">
        <v>333</v>
      </c>
      <c r="G69" s="5">
        <f>VLOOKUP(A69,[1]DETALHADA!$1:$1048576,2,0)</f>
        <v>52202.99</v>
      </c>
    </row>
    <row r="70" spans="1:7" ht="60" x14ac:dyDescent="0.25">
      <c r="A70" s="2" t="s">
        <v>334</v>
      </c>
      <c r="B70" s="2" t="s">
        <v>4</v>
      </c>
      <c r="C70" s="2" t="s">
        <v>335</v>
      </c>
      <c r="D70" s="3" t="s">
        <v>336</v>
      </c>
      <c r="E70" s="4" t="s">
        <v>337</v>
      </c>
      <c r="F70" s="2" t="s">
        <v>338</v>
      </c>
      <c r="G70" s="5" t="str">
        <f>VLOOKUP(A70,[1]DETALHADA!$1:$1048576,2,0)</f>
        <v xml:space="preserve">POR DEMANDA </v>
      </c>
    </row>
    <row r="71" spans="1:7" ht="45" x14ac:dyDescent="0.25">
      <c r="A71" s="2" t="s">
        <v>339</v>
      </c>
      <c r="B71" s="2" t="s">
        <v>4</v>
      </c>
      <c r="C71" s="2" t="s">
        <v>340</v>
      </c>
      <c r="D71" s="3" t="s">
        <v>341</v>
      </c>
      <c r="E71" s="4" t="s">
        <v>155</v>
      </c>
      <c r="F71" s="2" t="s">
        <v>342</v>
      </c>
      <c r="G71" s="5">
        <f>VLOOKUP(A71,[1]DETALHADA!$1:$1048576,2,0)</f>
        <v>58320</v>
      </c>
    </row>
    <row r="72" spans="1:7" ht="30" x14ac:dyDescent="0.25">
      <c r="A72" s="2" t="s">
        <v>343</v>
      </c>
      <c r="B72" s="2" t="s">
        <v>4</v>
      </c>
      <c r="C72" s="2" t="s">
        <v>344</v>
      </c>
      <c r="D72" s="3" t="s">
        <v>345</v>
      </c>
      <c r="E72" s="4" t="s">
        <v>346</v>
      </c>
      <c r="F72" s="6" t="s">
        <v>347</v>
      </c>
      <c r="G72" s="5">
        <f>VLOOKUP(A72,[1]DETALHADA!$1:$1048576,2,0)</f>
        <v>521418.72</v>
      </c>
    </row>
    <row r="73" spans="1:7" ht="30" x14ac:dyDescent="0.25">
      <c r="A73" s="2" t="s">
        <v>348</v>
      </c>
      <c r="B73" s="2" t="s">
        <v>4</v>
      </c>
      <c r="C73" s="2" t="s">
        <v>349</v>
      </c>
      <c r="D73" s="3" t="s">
        <v>350</v>
      </c>
      <c r="E73" s="4" t="s">
        <v>351</v>
      </c>
      <c r="F73" s="4" t="s">
        <v>352</v>
      </c>
      <c r="G73" s="5">
        <f>VLOOKUP(A73,[1]DETALHADA!$1:$1048576,2,0)</f>
        <v>4176999.96</v>
      </c>
    </row>
    <row r="74" spans="1:7" ht="30" x14ac:dyDescent="0.25">
      <c r="A74" s="2" t="s">
        <v>353</v>
      </c>
      <c r="B74" s="2" t="s">
        <v>4</v>
      </c>
      <c r="C74" s="2" t="s">
        <v>354</v>
      </c>
      <c r="D74" s="3" t="s">
        <v>355</v>
      </c>
      <c r="E74" s="4" t="s">
        <v>356</v>
      </c>
      <c r="F74" s="4" t="s">
        <v>357</v>
      </c>
      <c r="G74" s="5">
        <f>VLOOKUP(A74,[1]DETALHADA!$1:$1048576,2,0)</f>
        <v>134445.85999999999</v>
      </c>
    </row>
    <row r="75" spans="1:7" ht="105" x14ac:dyDescent="0.25">
      <c r="A75" s="2" t="s">
        <v>358</v>
      </c>
      <c r="B75" s="2" t="s">
        <v>4</v>
      </c>
      <c r="C75" s="2" t="s">
        <v>359</v>
      </c>
      <c r="D75" s="3" t="s">
        <v>360</v>
      </c>
      <c r="E75" s="4" t="s">
        <v>361</v>
      </c>
      <c r="F75" s="4" t="s">
        <v>362</v>
      </c>
      <c r="G75" s="5" t="str">
        <f>VLOOKUP(A75,[1]DETALHADA!$1:$1048576,2,0)</f>
        <v>POR DEMANDA</v>
      </c>
    </row>
    <row r="76" spans="1:7" ht="45" x14ac:dyDescent="0.25">
      <c r="A76" s="2" t="s">
        <v>363</v>
      </c>
      <c r="B76" s="2" t="s">
        <v>4</v>
      </c>
      <c r="C76" s="2" t="s">
        <v>364</v>
      </c>
      <c r="D76" s="3" t="s">
        <v>365</v>
      </c>
      <c r="E76" s="4" t="s">
        <v>366</v>
      </c>
      <c r="F76" s="4" t="s">
        <v>367</v>
      </c>
      <c r="G76" s="5">
        <f>VLOOKUP(A76,[1]DETALHADA!$1:$1048576,2,0)</f>
        <v>691799.9</v>
      </c>
    </row>
    <row r="77" spans="1:7" ht="75" x14ac:dyDescent="0.25">
      <c r="A77" s="2" t="s">
        <v>368</v>
      </c>
      <c r="B77" s="2" t="s">
        <v>4</v>
      </c>
      <c r="C77" s="2" t="s">
        <v>188</v>
      </c>
      <c r="D77" s="3" t="s">
        <v>369</v>
      </c>
      <c r="E77" s="4" t="s">
        <v>247</v>
      </c>
      <c r="F77" s="4" t="s">
        <v>248</v>
      </c>
      <c r="G77" s="5">
        <f>VLOOKUP(A77,[1]DETALHADA!$1:$1048576,2,0)</f>
        <v>300000</v>
      </c>
    </row>
    <row r="78" spans="1:7" ht="45" x14ac:dyDescent="0.25">
      <c r="A78" s="2" t="s">
        <v>370</v>
      </c>
      <c r="B78" s="2" t="s">
        <v>4</v>
      </c>
      <c r="C78" s="2" t="s">
        <v>371</v>
      </c>
      <c r="D78" s="3" t="s">
        <v>372</v>
      </c>
      <c r="E78" s="4" t="s">
        <v>247</v>
      </c>
      <c r="F78" s="4" t="s">
        <v>373</v>
      </c>
      <c r="G78" s="5">
        <f>VLOOKUP(A78,[1]DETALHADA!$1:$1048576,2,0)</f>
        <v>23040</v>
      </c>
    </row>
    <row r="79" spans="1:7" ht="45" x14ac:dyDescent="0.25">
      <c r="A79" s="2" t="s">
        <v>374</v>
      </c>
      <c r="B79" s="2" t="s">
        <v>375</v>
      </c>
      <c r="C79" s="2" t="s">
        <v>376</v>
      </c>
      <c r="D79" s="3" t="s">
        <v>377</v>
      </c>
      <c r="E79" s="4" t="s">
        <v>378</v>
      </c>
      <c r="F79" s="4" t="s">
        <v>379</v>
      </c>
      <c r="G79" s="5">
        <f>VLOOKUP(A79,[1]DETALHADA!$1:$1048576,2,0)</f>
        <v>23040</v>
      </c>
    </row>
    <row r="80" spans="1:7" ht="75" x14ac:dyDescent="0.25">
      <c r="A80" s="2" t="s">
        <v>380</v>
      </c>
      <c r="B80" s="2" t="s">
        <v>4</v>
      </c>
      <c r="C80" s="2" t="s">
        <v>268</v>
      </c>
      <c r="D80" s="3" t="s">
        <v>381</v>
      </c>
      <c r="E80" s="4" t="s">
        <v>247</v>
      </c>
      <c r="F80" s="4" t="s">
        <v>271</v>
      </c>
      <c r="G80" s="5">
        <f>VLOOKUP(A80,[1]DETALHADA!$1:$1048576,2,0)</f>
        <v>385800</v>
      </c>
    </row>
    <row r="81" spans="1:7" x14ac:dyDescent="0.25">
      <c r="A81" s="7"/>
      <c r="B81" s="7"/>
      <c r="C81" s="7"/>
      <c r="D81" s="8"/>
      <c r="E81" s="9"/>
      <c r="F81" s="9"/>
      <c r="G81" s="10">
        <f>SUM(G2:G80)</f>
        <v>89536707.569999993</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4" ySplit="2" topLeftCell="E11" activePane="bottomRight" state="frozen"/>
      <selection pane="topRight" activeCell="E1" sqref="E1"/>
      <selection pane="bottomLeft" activeCell="A3" sqref="A3"/>
      <selection pane="bottomRight" activeCell="H12" sqref="H12"/>
    </sheetView>
  </sheetViews>
  <sheetFormatPr defaultRowHeight="15" x14ac:dyDescent="0.25"/>
  <cols>
    <col min="2" max="2" width="27.85546875" customWidth="1"/>
    <col min="3" max="3" width="27.7109375" customWidth="1"/>
    <col min="4" max="4" width="23.5703125" customWidth="1"/>
    <col min="5" max="5" width="47.42578125" customWidth="1"/>
    <col min="6" max="6" width="13.28515625" customWidth="1"/>
    <col min="7" max="7" width="16.85546875" bestFit="1" customWidth="1"/>
    <col min="8" max="8" width="18.85546875" bestFit="1" customWidth="1"/>
  </cols>
  <sheetData>
    <row r="1" spans="1:10" ht="90" x14ac:dyDescent="0.25">
      <c r="A1" s="12" t="s">
        <v>382</v>
      </c>
      <c r="B1" s="13" t="s">
        <v>383</v>
      </c>
      <c r="C1" s="13" t="s">
        <v>384</v>
      </c>
      <c r="D1" s="13" t="s">
        <v>8</v>
      </c>
      <c r="E1" s="13" t="s">
        <v>385</v>
      </c>
      <c r="F1" s="13" t="s">
        <v>386</v>
      </c>
      <c r="G1" s="13" t="s">
        <v>387</v>
      </c>
      <c r="H1" s="13" t="s">
        <v>388</v>
      </c>
      <c r="I1" s="13" t="s">
        <v>389</v>
      </c>
      <c r="J1" s="14" t="s">
        <v>390</v>
      </c>
    </row>
    <row r="2" spans="1:10" x14ac:dyDescent="0.25">
      <c r="A2" s="15"/>
      <c r="B2" s="13"/>
      <c r="C2" s="13"/>
      <c r="D2" s="13"/>
      <c r="E2" s="13"/>
      <c r="F2" s="13"/>
      <c r="G2" s="13"/>
      <c r="H2" s="13"/>
      <c r="I2" s="13"/>
      <c r="J2" s="14"/>
    </row>
    <row r="3" spans="1:10" ht="105" x14ac:dyDescent="0.25">
      <c r="A3" s="16">
        <v>1</v>
      </c>
      <c r="B3" s="17" t="s">
        <v>391</v>
      </c>
      <c r="C3" s="17" t="s">
        <v>3</v>
      </c>
      <c r="D3" s="18" t="s">
        <v>397</v>
      </c>
      <c r="E3" s="19" t="s">
        <v>398</v>
      </c>
      <c r="F3" s="20" t="s">
        <v>394</v>
      </c>
      <c r="G3" s="21">
        <v>14682305.689999999</v>
      </c>
      <c r="H3" s="22">
        <v>5180864.63</v>
      </c>
      <c r="I3" s="17" t="s">
        <v>399</v>
      </c>
      <c r="J3" s="17" t="s">
        <v>400</v>
      </c>
    </row>
    <row r="4" spans="1:10" ht="90" x14ac:dyDescent="0.25">
      <c r="A4" s="23">
        <v>2</v>
      </c>
      <c r="B4" s="17" t="s">
        <v>391</v>
      </c>
      <c r="C4" s="24" t="s">
        <v>401</v>
      </c>
      <c r="D4" s="24" t="s">
        <v>402</v>
      </c>
      <c r="E4" s="11" t="s">
        <v>403</v>
      </c>
      <c r="F4" s="25">
        <v>46357</v>
      </c>
      <c r="G4" s="26">
        <v>850000</v>
      </c>
      <c r="H4" s="27">
        <v>750000</v>
      </c>
      <c r="I4" s="17" t="s">
        <v>399</v>
      </c>
      <c r="J4" s="17" t="s">
        <v>400</v>
      </c>
    </row>
    <row r="5" spans="1:10" ht="45" x14ac:dyDescent="0.25">
      <c r="A5" s="23">
        <v>3</v>
      </c>
      <c r="B5" s="17" t="s">
        <v>391</v>
      </c>
      <c r="C5" s="24" t="s">
        <v>3</v>
      </c>
      <c r="D5" s="24" t="s">
        <v>404</v>
      </c>
      <c r="E5" s="11" t="s">
        <v>405</v>
      </c>
      <c r="F5" s="26" t="s">
        <v>394</v>
      </c>
      <c r="G5" s="28">
        <v>756000</v>
      </c>
      <c r="H5" s="27">
        <v>730000</v>
      </c>
      <c r="I5" s="17" t="s">
        <v>399</v>
      </c>
      <c r="J5" s="17" t="s">
        <v>400</v>
      </c>
    </row>
    <row r="6" spans="1:10" ht="75" x14ac:dyDescent="0.25">
      <c r="A6" s="29">
        <v>5</v>
      </c>
      <c r="B6" s="30" t="s">
        <v>391</v>
      </c>
      <c r="C6" s="31" t="s">
        <v>406</v>
      </c>
      <c r="D6" s="31" t="s">
        <v>407</v>
      </c>
      <c r="E6" s="32" t="s">
        <v>408</v>
      </c>
      <c r="F6" s="33">
        <v>46054</v>
      </c>
      <c r="G6" s="34"/>
      <c r="H6" s="35">
        <v>70000</v>
      </c>
      <c r="I6" s="30" t="s">
        <v>392</v>
      </c>
      <c r="J6" s="17" t="s">
        <v>400</v>
      </c>
    </row>
    <row r="7" spans="1:10" ht="75" x14ac:dyDescent="0.25">
      <c r="A7" s="29">
        <v>6</v>
      </c>
      <c r="B7" s="17" t="s">
        <v>409</v>
      </c>
      <c r="C7" s="24" t="s">
        <v>406</v>
      </c>
      <c r="D7" s="36" t="s">
        <v>410</v>
      </c>
      <c r="E7" s="11" t="s">
        <v>411</v>
      </c>
      <c r="F7" s="26" t="s">
        <v>394</v>
      </c>
      <c r="G7" s="28">
        <v>144000</v>
      </c>
      <c r="H7" s="27">
        <v>144000</v>
      </c>
      <c r="I7" s="17" t="s">
        <v>392</v>
      </c>
      <c r="J7" s="17" t="s">
        <v>400</v>
      </c>
    </row>
    <row r="8" spans="1:10" ht="135" x14ac:dyDescent="0.25">
      <c r="A8" s="17">
        <v>7</v>
      </c>
      <c r="B8" s="37" t="s">
        <v>391</v>
      </c>
      <c r="C8" s="38" t="s">
        <v>406</v>
      </c>
      <c r="D8" s="39" t="s">
        <v>412</v>
      </c>
      <c r="E8" s="40" t="s">
        <v>413</v>
      </c>
      <c r="F8" s="33">
        <v>46054</v>
      </c>
      <c r="G8" s="41">
        <v>2841098.92</v>
      </c>
      <c r="H8" s="42">
        <v>766787.4</v>
      </c>
      <c r="I8" s="37" t="s">
        <v>399</v>
      </c>
      <c r="J8" s="17" t="s">
        <v>400</v>
      </c>
    </row>
    <row r="9" spans="1:10" ht="135" x14ac:dyDescent="0.25">
      <c r="A9" s="37">
        <v>8</v>
      </c>
      <c r="B9" s="30" t="s">
        <v>391</v>
      </c>
      <c r="C9" s="38" t="s">
        <v>1</v>
      </c>
      <c r="D9" s="31" t="s">
        <v>414</v>
      </c>
      <c r="E9" s="32" t="s">
        <v>415</v>
      </c>
      <c r="F9" s="43" t="s">
        <v>394</v>
      </c>
      <c r="G9" s="34">
        <v>18862196.289999999</v>
      </c>
      <c r="H9" s="35">
        <v>7431098.1500000004</v>
      </c>
      <c r="I9" s="30" t="s">
        <v>399</v>
      </c>
      <c r="J9" s="17" t="s">
        <v>400</v>
      </c>
    </row>
    <row r="10" spans="1:10" ht="225" x14ac:dyDescent="0.25">
      <c r="A10" s="38">
        <v>9</v>
      </c>
      <c r="B10" s="17" t="s">
        <v>391</v>
      </c>
      <c r="C10" s="24" t="s">
        <v>1</v>
      </c>
      <c r="D10" s="24" t="s">
        <v>416</v>
      </c>
      <c r="E10" s="11" t="s">
        <v>417</v>
      </c>
      <c r="F10" s="25">
        <v>46357</v>
      </c>
      <c r="G10" s="28">
        <v>60000</v>
      </c>
      <c r="H10" s="27">
        <v>60000</v>
      </c>
      <c r="I10" s="17" t="s">
        <v>399</v>
      </c>
      <c r="J10" s="17" t="s">
        <v>400</v>
      </c>
    </row>
    <row r="11" spans="1:10" ht="225" x14ac:dyDescent="0.25">
      <c r="A11" s="17">
        <v>10</v>
      </c>
      <c r="B11" s="30" t="s">
        <v>391</v>
      </c>
      <c r="C11" s="31" t="s">
        <v>2</v>
      </c>
      <c r="D11" s="31" t="s">
        <v>418</v>
      </c>
      <c r="E11" s="11" t="s">
        <v>419</v>
      </c>
      <c r="F11" s="33">
        <v>46023</v>
      </c>
      <c r="G11" s="34" t="s">
        <v>394</v>
      </c>
      <c r="H11" s="35">
        <v>7381553.5</v>
      </c>
      <c r="I11" s="44" t="s">
        <v>399</v>
      </c>
      <c r="J11" s="17" t="s">
        <v>400</v>
      </c>
    </row>
    <row r="12" spans="1:10" ht="15.75" x14ac:dyDescent="0.25">
      <c r="A12" s="24"/>
      <c r="B12" s="45"/>
      <c r="C12" s="46"/>
      <c r="D12" s="45"/>
      <c r="E12" s="47"/>
      <c r="F12" s="48"/>
      <c r="G12" s="49" t="s">
        <v>5</v>
      </c>
      <c r="H12" s="50">
        <f>SUM(H3,H4,H5,H6,H8,H9,H10,H11)</f>
        <v>22370303.68</v>
      </c>
      <c r="I12" s="47"/>
      <c r="J12" s="51"/>
    </row>
    <row r="13" spans="1:10" ht="21" x14ac:dyDescent="0.25">
      <c r="A13" s="89" t="s">
        <v>420</v>
      </c>
      <c r="B13" s="89"/>
      <c r="C13" s="89"/>
      <c r="D13" s="89"/>
      <c r="E13" s="19"/>
      <c r="F13" s="52"/>
      <c r="G13" s="53"/>
      <c r="H13" s="52"/>
      <c r="I13" s="53"/>
      <c r="J13" s="53"/>
    </row>
    <row r="14" spans="1:10" x14ac:dyDescent="0.25">
      <c r="A14" s="90" t="s">
        <v>421</v>
      </c>
      <c r="B14" s="90"/>
      <c r="C14" s="90"/>
      <c r="D14" s="90"/>
      <c r="E14" s="19"/>
      <c r="H14" s="54"/>
    </row>
    <row r="15" spans="1:10" x14ac:dyDescent="0.25">
      <c r="A15" s="90" t="s">
        <v>422</v>
      </c>
      <c r="B15" s="90"/>
      <c r="C15" s="90"/>
      <c r="D15" s="90"/>
      <c r="E15" s="90"/>
    </row>
    <row r="16" spans="1:10" x14ac:dyDescent="0.25">
      <c r="A16" s="91" t="s">
        <v>423</v>
      </c>
      <c r="B16" s="91"/>
      <c r="C16" s="91"/>
      <c r="D16" s="91"/>
      <c r="E16" s="55"/>
    </row>
    <row r="17" spans="1:5" x14ac:dyDescent="0.25">
      <c r="A17" s="85" t="s">
        <v>424</v>
      </c>
      <c r="B17" s="85"/>
      <c r="C17" s="85"/>
      <c r="D17" s="85"/>
      <c r="E17" s="85"/>
    </row>
    <row r="18" spans="1:5" x14ac:dyDescent="0.25">
      <c r="A18" s="85" t="s">
        <v>425</v>
      </c>
      <c r="B18" s="85"/>
      <c r="C18" s="85"/>
      <c r="D18" s="85"/>
      <c r="E18" s="85"/>
    </row>
    <row r="19" spans="1:5" ht="15.75" thickBot="1" x14ac:dyDescent="0.3">
      <c r="A19" s="87" t="s">
        <v>389</v>
      </c>
      <c r="B19" s="87"/>
      <c r="C19" s="88" t="s">
        <v>426</v>
      </c>
      <c r="D19" s="87"/>
      <c r="E19" s="19"/>
    </row>
    <row r="20" spans="1:5" x14ac:dyDescent="0.25">
      <c r="A20" s="86" t="s">
        <v>427</v>
      </c>
      <c r="B20" s="86"/>
      <c r="C20" s="86" t="s">
        <v>428</v>
      </c>
      <c r="D20" s="86"/>
      <c r="E20" s="19"/>
    </row>
    <row r="21" spans="1:5" x14ac:dyDescent="0.25">
      <c r="A21" s="86" t="s">
        <v>429</v>
      </c>
      <c r="B21" s="86"/>
      <c r="C21" s="86" t="s">
        <v>430</v>
      </c>
      <c r="D21" s="86"/>
      <c r="E21" s="19"/>
    </row>
    <row r="22" spans="1:5" x14ac:dyDescent="0.25">
      <c r="A22" s="86" t="s">
        <v>395</v>
      </c>
      <c r="B22" s="86"/>
      <c r="C22" s="86" t="s">
        <v>431</v>
      </c>
      <c r="D22" s="86"/>
      <c r="E22" s="19"/>
    </row>
    <row r="23" spans="1:5" x14ac:dyDescent="0.25">
      <c r="A23" s="86" t="s">
        <v>392</v>
      </c>
      <c r="B23" s="86"/>
      <c r="C23" s="86" t="s">
        <v>432</v>
      </c>
      <c r="D23" s="86"/>
      <c r="E23" s="19"/>
    </row>
    <row r="24" spans="1:5" x14ac:dyDescent="0.25">
      <c r="A24" s="86" t="s">
        <v>393</v>
      </c>
      <c r="B24" s="86"/>
      <c r="C24" s="86" t="s">
        <v>433</v>
      </c>
      <c r="D24" s="86"/>
      <c r="E24" s="19"/>
    </row>
    <row r="25" spans="1:5" x14ac:dyDescent="0.25">
      <c r="A25" s="85" t="s">
        <v>434</v>
      </c>
      <c r="B25" s="85"/>
      <c r="C25" s="85"/>
      <c r="D25" s="85"/>
      <c r="E25" s="85"/>
    </row>
    <row r="26" spans="1:5" x14ac:dyDescent="0.25">
      <c r="A26" s="56"/>
    </row>
  </sheetData>
  <mergeCells count="19">
    <mergeCell ref="A18:E18"/>
    <mergeCell ref="A13:D13"/>
    <mergeCell ref="A14:D14"/>
    <mergeCell ref="A15:E15"/>
    <mergeCell ref="A16:D16"/>
    <mergeCell ref="A17:E17"/>
    <mergeCell ref="A19:B19"/>
    <mergeCell ref="C19:D19"/>
    <mergeCell ref="A20:B20"/>
    <mergeCell ref="C20:D20"/>
    <mergeCell ref="A21:B21"/>
    <mergeCell ref="C21:D21"/>
    <mergeCell ref="A25:E25"/>
    <mergeCell ref="A22:B22"/>
    <mergeCell ref="C22:D22"/>
    <mergeCell ref="A23:B23"/>
    <mergeCell ref="C23:D23"/>
    <mergeCell ref="A24:B24"/>
    <mergeCell ref="C24:D24"/>
  </mergeCells>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pane xSplit="2" ySplit="2" topLeftCell="C3" activePane="bottomRight" state="frozen"/>
      <selection pane="topRight" activeCell="C1" sqref="C1"/>
      <selection pane="bottomLeft" activeCell="A3" sqref="A3"/>
      <selection pane="bottomRight" activeCell="F7" sqref="F7"/>
    </sheetView>
  </sheetViews>
  <sheetFormatPr defaultRowHeight="15" x14ac:dyDescent="0.25"/>
  <cols>
    <col min="1" max="1" width="5.42578125" bestFit="1" customWidth="1"/>
    <col min="2" max="2" width="10.7109375" bestFit="1" customWidth="1"/>
    <col min="3" max="3" width="83.42578125" customWidth="1"/>
    <col min="4" max="4" width="17.42578125" customWidth="1"/>
    <col min="5" max="5" width="14.28515625" bestFit="1" customWidth="1"/>
    <col min="6" max="6" width="15.85546875" bestFit="1" customWidth="1"/>
    <col min="7" max="7" width="17" customWidth="1"/>
    <col min="8" max="8" width="22.5703125" customWidth="1"/>
    <col min="9" max="9" width="38.7109375" bestFit="1" customWidth="1"/>
    <col min="10" max="10" width="9.140625" customWidth="1"/>
  </cols>
  <sheetData>
    <row r="1" spans="1:9" ht="31.5" x14ac:dyDescent="0.5">
      <c r="A1" s="92" t="s">
        <v>435</v>
      </c>
      <c r="B1" s="92"/>
      <c r="C1" s="92"/>
      <c r="D1" s="92"/>
      <c r="E1" s="92"/>
      <c r="F1" s="92"/>
      <c r="G1" s="92"/>
      <c r="H1" s="92"/>
      <c r="I1" s="92"/>
    </row>
    <row r="2" spans="1:9" ht="60" x14ac:dyDescent="0.25">
      <c r="A2" s="57" t="s">
        <v>382</v>
      </c>
      <c r="B2" s="58" t="s">
        <v>383</v>
      </c>
      <c r="C2" s="58" t="s">
        <v>8</v>
      </c>
      <c r="D2" s="58" t="s">
        <v>386</v>
      </c>
      <c r="E2" s="58" t="s">
        <v>387</v>
      </c>
      <c r="F2" s="58" t="s">
        <v>388</v>
      </c>
      <c r="G2" s="58" t="s">
        <v>389</v>
      </c>
      <c r="H2" s="59" t="s">
        <v>436</v>
      </c>
      <c r="I2" s="60" t="s">
        <v>437</v>
      </c>
    </row>
    <row r="3" spans="1:9" ht="75" x14ac:dyDescent="0.25">
      <c r="A3" s="56">
        <v>1</v>
      </c>
      <c r="B3" s="56" t="s">
        <v>438</v>
      </c>
      <c r="C3" s="61" t="str">
        <f>VLOOKUP(H3,[2]DETALHADA!$1:$1048576,4,0)</f>
        <v xml:space="preserve"> Contratação de empresa especializada na prestação de contratação dos serviços técnicos especializados de consultoria jurídica administrativa e contenciosa na área de direito ambiental, perante todas as instâncias possíveis do Poder Judiciário, a serem prestados por sociedade de advogados para a Companhia de Saneamento Ambiental do Maranhão, e Superiores.</v>
      </c>
      <c r="D3" s="62">
        <v>46378</v>
      </c>
      <c r="E3" s="63">
        <f>VLOOKUP(H3,[3]DETALHADA!$1:$1048576,2,0)</f>
        <v>309098.40999999997</v>
      </c>
      <c r="F3" s="63">
        <v>309098.40999999997</v>
      </c>
      <c r="G3" s="56" t="s">
        <v>439</v>
      </c>
      <c r="H3" s="64" t="s">
        <v>440</v>
      </c>
      <c r="I3" s="64" t="s">
        <v>441</v>
      </c>
    </row>
    <row r="4" spans="1:9" ht="135" x14ac:dyDescent="0.25">
      <c r="A4" s="56">
        <v>2</v>
      </c>
      <c r="B4" s="56" t="s">
        <v>438</v>
      </c>
      <c r="C4" s="61" t="str">
        <f>VLOOKUP(H4,[2]DETALHADA!$1:$1048576,4,0)</f>
        <v>Contratação de empresa especializada na prestação de
serviços técnicos especializados de consultoria jurídica preventiva, administrativa e
contenciosa nas áreas de direito civil, consumidor, administrativa, tributária, penal, societária e regulatória,
judiciais e extrajudiciais, perante todas as instâncias dos Tribunais Estaduais, Federais, e Superiores,
inclusive Juizados Especiais Cíveis e Criminais, a serem prestados por sociedade de advogados para a
Companhia de Saneamento Ambiental do Maranhão - CAEMA</v>
      </c>
      <c r="D4" s="62">
        <v>46043</v>
      </c>
      <c r="E4" s="63">
        <f>VLOOKUP(H4,[3]DETALHADA!$1:$1048576,2,0)</f>
        <v>531600</v>
      </c>
      <c r="F4" s="63">
        <v>531600</v>
      </c>
      <c r="G4" s="56" t="s">
        <v>439</v>
      </c>
      <c r="H4" s="64" t="s">
        <v>442</v>
      </c>
      <c r="I4" s="64" t="s">
        <v>443</v>
      </c>
    </row>
    <row r="5" spans="1:9" ht="60" x14ac:dyDescent="0.25">
      <c r="A5" s="56">
        <v>3</v>
      </c>
      <c r="B5" s="56" t="s">
        <v>438</v>
      </c>
      <c r="C5" s="19" t="str">
        <f>VLOOKUP(H5,[2]DETALHADA!$1:$1048576,4,0)</f>
        <v>Contratação de serviços técnicos especializados de consultoria juridica preventiva,administrativa e contenciosa nas áreas de direito trabalhista e previdenciário,perante todas as instancias dos Tribunais Regionais e Superioresa serem prestados por sociedade de advogados para CAEMA</v>
      </c>
      <c r="D5" s="62">
        <v>46077</v>
      </c>
      <c r="E5" s="63">
        <v>240000</v>
      </c>
      <c r="F5" s="63">
        <v>240000</v>
      </c>
      <c r="G5" s="56" t="s">
        <v>439</v>
      </c>
      <c r="H5" s="64" t="s">
        <v>444</v>
      </c>
      <c r="I5" s="64" t="s">
        <v>445</v>
      </c>
    </row>
    <row r="6" spans="1:9" ht="60" x14ac:dyDescent="0.25">
      <c r="A6" s="56">
        <v>4</v>
      </c>
      <c r="B6" s="56" t="s">
        <v>438</v>
      </c>
      <c r="C6" s="19" t="str">
        <f>VLOOKUP(H6,[2]DETALHADA!$1:$1048576,4,0)</f>
        <v>Contratação de empresa especializada, para prestação de serviços de clipping e mensuração de mídia, de todos os assuntos que fizerem referência à Companhia de Saneamento Ambiental do Maranhão (CAEMA) nas cidades de São Luís, Imperatriz, Chapadinha, Pinheiro, Presidente Dutra e Santa Inês, no Estado do Maranhão.</v>
      </c>
      <c r="D6" s="62">
        <v>46319</v>
      </c>
      <c r="E6" s="63">
        <f>VLOOKUP(H6,[3]DETALHADA!$1:$1048576,2,0)</f>
        <v>75000</v>
      </c>
      <c r="F6" s="63">
        <v>75000</v>
      </c>
      <c r="G6" s="56" t="s">
        <v>439</v>
      </c>
      <c r="H6" s="64" t="s">
        <v>104</v>
      </c>
      <c r="I6" s="64" t="s">
        <v>105</v>
      </c>
    </row>
    <row r="7" spans="1:9" x14ac:dyDescent="0.25">
      <c r="A7" s="53"/>
      <c r="B7" s="56"/>
      <c r="C7" s="61"/>
      <c r="E7" s="65" t="s">
        <v>446</v>
      </c>
      <c r="F7" s="66">
        <f>SUM(F3:F6)</f>
        <v>1155698.4099999999</v>
      </c>
    </row>
    <row r="8" spans="1:9" x14ac:dyDescent="0.25">
      <c r="A8" s="53"/>
      <c r="B8" s="56"/>
      <c r="C8" s="61"/>
    </row>
  </sheetData>
  <mergeCells count="1">
    <mergeCell ref="A1:I1"/>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election activeCell="C8" sqref="C8"/>
    </sheetView>
  </sheetViews>
  <sheetFormatPr defaultRowHeight="15" x14ac:dyDescent="0.25"/>
  <cols>
    <col min="1" max="1" width="5.42578125" style="1" bestFit="1" customWidth="1"/>
    <col min="2" max="2" width="22.28515625" style="1" bestFit="1" customWidth="1"/>
    <col min="3" max="3" width="89.42578125" style="70" bestFit="1" customWidth="1"/>
    <col min="4" max="4" width="42.7109375" style="1" bestFit="1" customWidth="1"/>
    <col min="5" max="5" width="21.42578125" style="1" bestFit="1" customWidth="1"/>
    <col min="6" max="6" width="44.5703125" style="1" bestFit="1" customWidth="1"/>
    <col min="7" max="7" width="10.85546875" style="1" bestFit="1" customWidth="1"/>
    <col min="8" max="8" width="52.140625" style="1" bestFit="1" customWidth="1"/>
    <col min="9" max="16384" width="9.140625" style="1"/>
  </cols>
  <sheetData>
    <row r="1" spans="1:8" ht="31.5" x14ac:dyDescent="0.5">
      <c r="A1" s="93" t="s">
        <v>447</v>
      </c>
      <c r="B1" s="93"/>
      <c r="C1" s="93"/>
      <c r="D1" s="93"/>
      <c r="E1" s="93"/>
      <c r="F1" s="93"/>
      <c r="G1" s="93"/>
      <c r="H1" s="93"/>
    </row>
    <row r="2" spans="1:8" x14ac:dyDescent="0.25">
      <c r="A2" s="57" t="s">
        <v>382</v>
      </c>
      <c r="B2" s="58" t="s">
        <v>383</v>
      </c>
      <c r="C2" s="58" t="s">
        <v>8</v>
      </c>
      <c r="D2" s="58" t="s">
        <v>386</v>
      </c>
      <c r="E2" s="58" t="s">
        <v>387</v>
      </c>
      <c r="F2" s="58" t="s">
        <v>388</v>
      </c>
      <c r="G2" s="59" t="s">
        <v>436</v>
      </c>
      <c r="H2" s="60" t="s">
        <v>437</v>
      </c>
    </row>
    <row r="3" spans="1:8" ht="60" x14ac:dyDescent="0.25">
      <c r="A3" s="19">
        <v>1</v>
      </c>
      <c r="B3" s="19" t="s">
        <v>391</v>
      </c>
      <c r="C3" s="19" t="str">
        <f>VLOOKUP(G3,[2]DETALHADA!$1:$1048576,4,0)</f>
        <v>O presente Contrato tem por objeto a contratação de empresa especializada em recuperação de reservatórios, recuperação de ETAS e execução de serviços complementares visando atender à gerência de negócios de Imperatriz, gerência de negócios de Pedreiras, gerência de negócios de presidente Dutra, gerência de negócios de Colinas e gerência de Barreirinhas.</v>
      </c>
      <c r="D3" s="67">
        <v>45987</v>
      </c>
      <c r="E3" s="68">
        <f>VLOOKUP(G3,[1]DETALHADA!$1:$1048576,2,0)</f>
        <v>6441653</v>
      </c>
      <c r="F3" s="68">
        <f>E3</f>
        <v>6441653</v>
      </c>
      <c r="G3" s="69" t="s">
        <v>448</v>
      </c>
      <c r="H3" s="69" t="s">
        <v>449</v>
      </c>
    </row>
    <row r="4" spans="1:8" x14ac:dyDescent="0.25">
      <c r="A4" s="19">
        <v>2</v>
      </c>
      <c r="B4" s="19" t="s">
        <v>391</v>
      </c>
      <c r="C4" s="19" t="str">
        <f>VLOOKUP(G4,[2]DETALHADA!$1:$1048576,4,0)</f>
        <v>Perfuração de 01 (UM) poço tubular profundo, no Município de Sucupira do Norte/MA</v>
      </c>
      <c r="D4" s="67">
        <v>45997</v>
      </c>
      <c r="E4" s="68">
        <f>VLOOKUP(G4,[1]DETALHADA!$1:$1048576,2,0)</f>
        <v>1597400.39</v>
      </c>
      <c r="F4" s="68">
        <f t="shared" ref="F4:F30" si="0">E4</f>
        <v>1597400.39</v>
      </c>
      <c r="G4" s="69" t="s">
        <v>450</v>
      </c>
      <c r="H4" s="69" t="s">
        <v>451</v>
      </c>
    </row>
    <row r="5" spans="1:8" ht="30" x14ac:dyDescent="0.25">
      <c r="A5" s="19">
        <v>3</v>
      </c>
      <c r="B5" s="19" t="s">
        <v>391</v>
      </c>
      <c r="C5" s="19" t="str">
        <f>VLOOKUP(G5,[2]DETALHADA!$1:$1048576,4,0)</f>
        <v xml:space="preserve">A perfuração de um poço tubular profundo na Comunidade Sarney Costa, na cidade de São Luís-MA. </v>
      </c>
      <c r="D5" s="67">
        <v>45999</v>
      </c>
      <c r="E5" s="68">
        <f>VLOOKUP(G5,[1]DETALHADA!$1:$1048576,2,0)</f>
        <v>386395.29</v>
      </c>
      <c r="F5" s="68">
        <f t="shared" si="0"/>
        <v>386395.29</v>
      </c>
      <c r="G5" s="69" t="s">
        <v>452</v>
      </c>
      <c r="H5" s="69" t="s">
        <v>453</v>
      </c>
    </row>
    <row r="6" spans="1:8" ht="75" x14ac:dyDescent="0.25">
      <c r="A6" s="19">
        <v>4</v>
      </c>
      <c r="B6" s="19" t="s">
        <v>391</v>
      </c>
      <c r="C6" s="19" t="str">
        <f>VLOOKUP(G6,[2]DETALHADA!$1:$1048576,4,0)</f>
        <v>Contratação de empresa especializada para ELABORAÇÃO DE ESTUDOS DE CONCEPÇÃO, PROJETOS BÁSICO E EXECUTIVO PARA IMPLANTAÇÃO DE DESARENADOR (CAIXA DE AREIA) TIPO CANAL EM CONCRETO, FLUXO HORIZONTAL, DESTINADO A ATENDER A ESTAÇÃO ELEVATÓRIA DE ESGOTOS (EEE) PIMENTA (LOTE 1) E A ESTAÇÃO DE TRATAMENTO DE ESGOTOS (ETE) VINHAIS (LOTE 2).</v>
      </c>
      <c r="D6" s="67">
        <v>46010</v>
      </c>
      <c r="E6" s="68">
        <f>VLOOKUP(G6,[1]DETALHADA!$1:$1048576,2,0)</f>
        <v>255675.42</v>
      </c>
      <c r="F6" s="68">
        <f t="shared" si="0"/>
        <v>255675.42</v>
      </c>
      <c r="G6" s="69" t="s">
        <v>454</v>
      </c>
      <c r="H6" s="69" t="s">
        <v>455</v>
      </c>
    </row>
    <row r="7" spans="1:8" ht="30" x14ac:dyDescent="0.25">
      <c r="A7" s="19">
        <v>5</v>
      </c>
      <c r="B7" s="19" t="s">
        <v>391</v>
      </c>
      <c r="C7" s="19" t="str">
        <f>VLOOKUP(G7,[2]DETALHADA!$1:$1048576,4,0)</f>
        <v>O objeto do presente Termo de Contrato é a perfuração de 01 (um) poço tubular, no Município de Conceição do Lago Acú/MA</v>
      </c>
      <c r="D7" s="67">
        <v>46044</v>
      </c>
      <c r="E7" s="68">
        <f>VLOOKUP(G7,[1]DETALHADA!$1:$1048576,2,0)</f>
        <v>592882.14</v>
      </c>
      <c r="F7" s="68">
        <f t="shared" si="0"/>
        <v>592882.14</v>
      </c>
      <c r="G7" s="69" t="s">
        <v>456</v>
      </c>
      <c r="H7" s="69" t="s">
        <v>457</v>
      </c>
    </row>
    <row r="8" spans="1:8" ht="45" x14ac:dyDescent="0.25">
      <c r="A8" s="19">
        <v>6</v>
      </c>
      <c r="B8" s="19" t="s">
        <v>391</v>
      </c>
      <c r="C8" s="19" t="str">
        <f>VLOOKUP(G8,[2]DETALHADA!$1:$1048576,4,0)</f>
        <v>Execução dos serviços específicos de engenharia e hidrogeologia, para perfuração de 01 (um) poço tubular profundo no bairro Bom Jesus, do Sistema de Abastecimento do Município de São Luís/MA.</v>
      </c>
      <c r="D8" s="67">
        <v>46046</v>
      </c>
      <c r="E8" s="68">
        <f>VLOOKUP(G8,[1]DETALHADA!$1:$1048576,2,0)</f>
        <v>386516.3</v>
      </c>
      <c r="F8" s="68">
        <f t="shared" si="0"/>
        <v>386516.3</v>
      </c>
      <c r="G8" s="69" t="s">
        <v>458</v>
      </c>
      <c r="H8" s="69" t="s">
        <v>453</v>
      </c>
    </row>
    <row r="9" spans="1:8" ht="30" x14ac:dyDescent="0.25">
      <c r="A9" s="19">
        <v>7</v>
      </c>
      <c r="B9" s="19" t="s">
        <v>391</v>
      </c>
      <c r="C9" s="19" t="str">
        <f>VLOOKUP(G9,[2]DETALHADA!$1:$1048576,4,0)</f>
        <v xml:space="preserve">Serviços comuns de engenharia e hidrogeologia para manutenção e reabilitação de poços tubulares profundos operados pela CAEMA. </v>
      </c>
      <c r="D9" s="67">
        <v>46049</v>
      </c>
      <c r="E9" s="68">
        <f>VLOOKUP(G9,[1]DETALHADA!$1:$1048576,2,0)</f>
        <v>1040487.03</v>
      </c>
      <c r="F9" s="68">
        <f t="shared" si="0"/>
        <v>1040487.03</v>
      </c>
      <c r="G9" s="69" t="s">
        <v>459</v>
      </c>
      <c r="H9" s="69" t="s">
        <v>460</v>
      </c>
    </row>
    <row r="10" spans="1:8" x14ac:dyDescent="0.25">
      <c r="A10" s="19">
        <v>8</v>
      </c>
      <c r="B10" s="19" t="s">
        <v>391</v>
      </c>
      <c r="C10" s="19" t="str">
        <f>VLOOKUP(G10,[2]DETALHADA!$1:$1048576,4,0)</f>
        <v>Perfuração de 01 (um) poço tubular profundo, no município de Paraibano/MA.</v>
      </c>
      <c r="D10" s="67">
        <v>46071</v>
      </c>
      <c r="E10" s="68">
        <f>VLOOKUP(G10,[1]DETALHADA!$1:$1048576,2,0)</f>
        <v>635535.74</v>
      </c>
      <c r="F10" s="68">
        <f t="shared" si="0"/>
        <v>635535.74</v>
      </c>
      <c r="G10" s="69" t="s">
        <v>461</v>
      </c>
      <c r="H10" s="69" t="s">
        <v>451</v>
      </c>
    </row>
    <row r="11" spans="1:8" ht="30" x14ac:dyDescent="0.25">
      <c r="A11" s="19">
        <v>9</v>
      </c>
      <c r="B11" s="19" t="s">
        <v>391</v>
      </c>
      <c r="C11" s="19" t="str">
        <f>VLOOKUP(G11,[2]DETALHADA!$1:$1048576,4,0)</f>
        <v>Execução de obras e serviço de conclusão de implementação e ampliação do Sistema de esgotamento de Sanitário de São Luís MA Etapa 1 - Sistema Vinhais (PAC1)</v>
      </c>
      <c r="D11" s="67">
        <v>46073</v>
      </c>
      <c r="E11" s="68">
        <f>VLOOKUP(G11,[1]DETALHADA!$1:$1048576,2,0)</f>
        <v>20625708.079999998</v>
      </c>
      <c r="F11" s="68">
        <f t="shared" si="0"/>
        <v>20625708.079999998</v>
      </c>
      <c r="G11" s="69" t="s">
        <v>462</v>
      </c>
      <c r="H11" s="69" t="s">
        <v>463</v>
      </c>
    </row>
    <row r="12" spans="1:8" x14ac:dyDescent="0.25">
      <c r="A12" s="19">
        <v>10</v>
      </c>
      <c r="B12" s="19" t="s">
        <v>391</v>
      </c>
      <c r="C12" s="19" t="str">
        <f>VLOOKUP(G12,[2]DETALHADA!$1:$1048576,4,0)</f>
        <v>perfuração de 01 (um) poço tubular, no Município de Coroatá/MA</v>
      </c>
      <c r="D12" s="67">
        <v>46097</v>
      </c>
      <c r="E12" s="68">
        <f>VLOOKUP(G12,[1]DETALHADA!$1:$1048576,2,0)</f>
        <v>633343.27</v>
      </c>
      <c r="F12" s="68">
        <f t="shared" si="0"/>
        <v>633343.27</v>
      </c>
      <c r="G12" s="69" t="s">
        <v>464</v>
      </c>
      <c r="H12" s="69" t="s">
        <v>457</v>
      </c>
    </row>
    <row r="13" spans="1:8" x14ac:dyDescent="0.25">
      <c r="A13" s="19">
        <v>11</v>
      </c>
      <c r="B13" s="19" t="s">
        <v>391</v>
      </c>
      <c r="C13" s="19" t="str">
        <f>VLOOKUP(G13,[2]DETALHADA!$1:$1048576,4,0)</f>
        <v>Perfuração de 01 (um) poço tubular profundo, no município de Fortuna/MA: 6`` x 250m</v>
      </c>
      <c r="D13" s="67">
        <v>46097</v>
      </c>
      <c r="E13" s="68">
        <f>VLOOKUP(G13,[1]DETALHADA!$1:$1048576,2,0)</f>
        <v>522811.64</v>
      </c>
      <c r="F13" s="68">
        <f t="shared" si="0"/>
        <v>522811.64</v>
      </c>
      <c r="G13" s="69" t="s">
        <v>465</v>
      </c>
      <c r="H13" s="69" t="s">
        <v>451</v>
      </c>
    </row>
    <row r="14" spans="1:8" ht="30" x14ac:dyDescent="0.25">
      <c r="A14" s="19">
        <v>12</v>
      </c>
      <c r="B14" s="19" t="s">
        <v>391</v>
      </c>
      <c r="C14" s="19" t="str">
        <f>VLOOKUP(G14,[2]DETALHADA!$1:$1048576,4,0)</f>
        <v xml:space="preserve">Execução dos serviços de perfuração de 01 (um) poço tubular profundo, no município de Chapadinha/MA: (LOTE 2) 8`` X 150 M. </v>
      </c>
      <c r="D14" s="67">
        <v>46100</v>
      </c>
      <c r="E14" s="68">
        <f>VLOOKUP(G14,[1]DETALHADA!$1:$1048576,2,0)</f>
        <v>1241882.77</v>
      </c>
      <c r="F14" s="68">
        <f t="shared" si="0"/>
        <v>1241882.77</v>
      </c>
      <c r="G14" s="69" t="s">
        <v>466</v>
      </c>
      <c r="H14" s="69" t="s">
        <v>457</v>
      </c>
    </row>
    <row r="15" spans="1:8" ht="45" x14ac:dyDescent="0.25">
      <c r="A15" s="19">
        <v>13</v>
      </c>
      <c r="B15" s="19" t="s">
        <v>391</v>
      </c>
      <c r="C15" s="19" t="str">
        <f>VLOOKUP(G15,[2]DETALHADA!$1:$1048576,4,0)</f>
        <v>Contratação de empresa de engenharia para execução do saldo remanescente das obras de implantação da 2ª etapa do sistema de esgotamento sanitário de Itapecuru-Mirim/MA, rede coletora, ligações prediais e estações elevatórias condicionantes.</v>
      </c>
      <c r="D15" s="67">
        <v>46103</v>
      </c>
      <c r="E15" s="68">
        <f>VLOOKUP(G15,[1]DETALHADA!$1:$1048576,2,0)</f>
        <v>21198718.219999999</v>
      </c>
      <c r="F15" s="68">
        <f t="shared" si="0"/>
        <v>21198718.219999999</v>
      </c>
      <c r="G15" s="69" t="s">
        <v>467</v>
      </c>
      <c r="H15" s="69" t="s">
        <v>468</v>
      </c>
    </row>
    <row r="16" spans="1:8" ht="30" x14ac:dyDescent="0.25">
      <c r="A16" s="19">
        <v>14</v>
      </c>
      <c r="B16" s="19" t="s">
        <v>391</v>
      </c>
      <c r="C16" s="19" t="str">
        <f>VLOOKUP(G16,[2]DETALHADA!$1:$1048576,4,0)</f>
        <v>Aquisição de licenças (assinaturas) de uso de softwares autodesck, versão 2022 ou superior com transferência de conhecimento tecnologico,para implantação da metodologia BIM</v>
      </c>
      <c r="D16" s="67">
        <v>46105</v>
      </c>
      <c r="E16" s="68">
        <f>VLOOKUP(G16,[1]DETALHADA!$1:$1048576,2,0)</f>
        <v>94141.05</v>
      </c>
      <c r="F16" s="68">
        <f t="shared" si="0"/>
        <v>94141.05</v>
      </c>
      <c r="G16" s="69" t="s">
        <v>469</v>
      </c>
      <c r="H16" s="69" t="s">
        <v>470</v>
      </c>
    </row>
    <row r="17" spans="1:8" ht="45" x14ac:dyDescent="0.25">
      <c r="A17" s="19">
        <v>15</v>
      </c>
      <c r="B17" s="19" t="s">
        <v>391</v>
      </c>
      <c r="C17" s="19" t="str">
        <f>VLOOKUP(G17,[2]DETALHADA!$1:$1048576,4,0)</f>
        <v>Execução dos serviços específicos de engenharia e hidrogeologia, para perfuração de 01 (um) poço tubular profundo no Sistema de Abastecimento do Município de Açailândia/MA, pertencente à Gerência de Imperatriz/MA (Lote 04)</v>
      </c>
      <c r="D17" s="67">
        <v>46136</v>
      </c>
      <c r="E17" s="68">
        <f>VLOOKUP(G17,[1]DETALHADA!$1:$1048576,2,0)</f>
        <v>614155.52000000002</v>
      </c>
      <c r="F17" s="68">
        <f t="shared" si="0"/>
        <v>614155.52000000002</v>
      </c>
      <c r="G17" s="69" t="s">
        <v>471</v>
      </c>
      <c r="H17" s="69" t="s">
        <v>472</v>
      </c>
    </row>
    <row r="18" spans="1:8" x14ac:dyDescent="0.25">
      <c r="A18" s="19">
        <v>16</v>
      </c>
      <c r="B18" s="19" t="s">
        <v>391</v>
      </c>
      <c r="C18" s="19" t="str">
        <f>VLOOKUP(G18,[2]DETALHADA!$1:$1048576,4,0)</f>
        <v>Perfuração de 01 (um) poço tubular, no Município de Olho D’Água das Cunhãs/MA</v>
      </c>
      <c r="D18" s="67">
        <v>46136</v>
      </c>
      <c r="E18" s="68">
        <f>VLOOKUP(G18,[1]DETALHADA!$1:$1048576,2,0)</f>
        <v>520763.07</v>
      </c>
      <c r="F18" s="68">
        <f t="shared" si="0"/>
        <v>520763.07</v>
      </c>
      <c r="G18" s="69" t="s">
        <v>473</v>
      </c>
      <c r="H18" s="69" t="s">
        <v>457</v>
      </c>
    </row>
    <row r="19" spans="1:8" ht="30" x14ac:dyDescent="0.25">
      <c r="A19" s="19">
        <v>17</v>
      </c>
      <c r="B19" s="19" t="s">
        <v>391</v>
      </c>
      <c r="C19" s="19" t="str">
        <f>VLOOKUP(G19,[2]DETALHADA!$1:$1048576,4,0)</f>
        <v>Prestação de serviços comuns de engenharia e hidrogeologia em 03 (três) poços no município de Esperantinópolis e 03 (três) poços no município de Poção de Pedras.</v>
      </c>
      <c r="D19" s="67">
        <v>46142</v>
      </c>
      <c r="E19" s="68">
        <f>VLOOKUP(G19,[1]DETALHADA!$1:$1048576,2,0)</f>
        <v>1531183.69</v>
      </c>
      <c r="F19" s="68">
        <f t="shared" si="0"/>
        <v>1531183.69</v>
      </c>
      <c r="G19" s="69" t="s">
        <v>474</v>
      </c>
      <c r="H19" s="69" t="s">
        <v>451</v>
      </c>
    </row>
    <row r="20" spans="1:8" ht="30" x14ac:dyDescent="0.25">
      <c r="A20" s="19">
        <v>19</v>
      </c>
      <c r="B20" s="19" t="s">
        <v>391</v>
      </c>
      <c r="C20" s="19" t="str">
        <f>VLOOKUP(G20,[2]DETALHADA!$1:$1048576,4,0)</f>
        <v>O objeto do presente Termo de Contrato é a perfuração de 01 (um) poço tubular profundo, no Município de Zé Doca/MA: 8” X 200M</v>
      </c>
      <c r="D20" s="67">
        <v>46142</v>
      </c>
      <c r="E20" s="68">
        <f>VLOOKUP(G20,[1]DETALHADA!$1:$1048576,2,0)</f>
        <v>726025.7</v>
      </c>
      <c r="F20" s="68">
        <f t="shared" si="0"/>
        <v>726025.7</v>
      </c>
      <c r="G20" s="69" t="s">
        <v>475</v>
      </c>
      <c r="H20" s="69" t="s">
        <v>457</v>
      </c>
    </row>
    <row r="21" spans="1:8" x14ac:dyDescent="0.25">
      <c r="A21" s="19">
        <v>21</v>
      </c>
      <c r="B21" s="19" t="s">
        <v>391</v>
      </c>
      <c r="C21" s="19" t="str">
        <f>VLOOKUP(G21,[2]DETALHADA!$1:$1048576,4,0)</f>
        <v>Perfuração de 04 (quatro) poços tubulares profundos, no Município de Imperatriz/MA.</v>
      </c>
      <c r="D21" s="67">
        <v>46154</v>
      </c>
      <c r="E21" s="68">
        <f>VLOOKUP(G21,[1]DETALHADA!$1:$1048576,2,0)</f>
        <v>3854404.86</v>
      </c>
      <c r="F21" s="68">
        <f t="shared" si="0"/>
        <v>3854404.86</v>
      </c>
      <c r="G21" s="69" t="s">
        <v>476</v>
      </c>
      <c r="H21" s="69" t="s">
        <v>472</v>
      </c>
    </row>
    <row r="22" spans="1:8" ht="45" x14ac:dyDescent="0.25">
      <c r="A22" s="19">
        <v>22</v>
      </c>
      <c r="B22" s="19" t="s">
        <v>391</v>
      </c>
      <c r="C22" s="19" t="str">
        <f>VLOOKUP(G22,[2]DETALHADA!$1:$1048576,4,0)</f>
        <v xml:space="preserve"> Contratação de empresa especializada em execução de serviços comuns de engenharia para melhorias nos sistemas de implantação e ampliação de redes de abastecimento de água e miscelâneas em municípios operados pela CAEMA.</v>
      </c>
      <c r="D22" s="67">
        <v>46155</v>
      </c>
      <c r="E22" s="68">
        <f>VLOOKUP(G22,[1]DETALHADA!$1:$1048576,2,0)</f>
        <v>1412815.48</v>
      </c>
      <c r="F22" s="68">
        <f t="shared" si="0"/>
        <v>1412815.48</v>
      </c>
      <c r="G22" s="69" t="s">
        <v>477</v>
      </c>
      <c r="H22" s="69" t="s">
        <v>478</v>
      </c>
    </row>
    <row r="23" spans="1:8" ht="30" x14ac:dyDescent="0.25">
      <c r="A23" s="19">
        <v>23</v>
      </c>
      <c r="B23" s="19" t="s">
        <v>391</v>
      </c>
      <c r="C23" s="19" t="str">
        <f>VLOOKUP(G23,[2]DETALHADA!$1:$1048576,4,0)</f>
        <v>Contratação de empresa de engenharia especializada para prestação de serviços de Melhorias do Sistema e Abastecimento de Água, no Município de Morros/MA</v>
      </c>
      <c r="D23" s="67">
        <v>46159</v>
      </c>
      <c r="E23" s="68">
        <f>VLOOKUP(G23,[1]DETALHADA!$1:$1048576,2,0)</f>
        <v>262376.62</v>
      </c>
      <c r="F23" s="68">
        <f t="shared" si="0"/>
        <v>262376.62</v>
      </c>
      <c r="G23" s="69" t="s">
        <v>479</v>
      </c>
      <c r="H23" s="69" t="s">
        <v>478</v>
      </c>
    </row>
    <row r="24" spans="1:8" ht="45" x14ac:dyDescent="0.25">
      <c r="A24" s="19">
        <v>24</v>
      </c>
      <c r="B24" s="19" t="s">
        <v>391</v>
      </c>
      <c r="C24" s="19" t="str">
        <f>VLOOKUP(G24,[2]DETALHADA!$1:$1048576,4,0)</f>
        <v xml:space="preserve">Execução de Obras e Serviços de Conclusão de Implantação e Ampliação do Sistema de Esgotamento Sanitário de Sao Luis-Etapa 1- Sistemas: Anil, Bacanga (Margem Direita), São Francisco E Vinhais (PAC 2), </v>
      </c>
      <c r="D24" s="67">
        <v>46160</v>
      </c>
      <c r="E24" s="68">
        <f>VLOOKUP(G24,[1]DETALHADA!$1:$1048576,2,0)</f>
        <v>3040776.78</v>
      </c>
      <c r="F24" s="68">
        <f t="shared" si="0"/>
        <v>3040776.78</v>
      </c>
      <c r="G24" s="69" t="s">
        <v>480</v>
      </c>
      <c r="H24" s="69" t="s">
        <v>481</v>
      </c>
    </row>
    <row r="25" spans="1:8" ht="60" x14ac:dyDescent="0.25">
      <c r="A25" s="19">
        <v>27</v>
      </c>
      <c r="B25" s="19" t="s">
        <v>391</v>
      </c>
      <c r="C25" s="19" t="str">
        <f>VLOOKUP(G25,[2]DETALHADA!$1:$1048576,4,0)</f>
        <v xml:space="preserve">Contratação de serviços de fornecimento de licença anual de plataforma de pesquisa de preços de itens (serviços, materiais e equipamentos) em bancos oficiais, de acordo com as especificações técnicas e quantitativos constantes no termo de referência.
</v>
      </c>
      <c r="D25" s="67">
        <v>46183</v>
      </c>
      <c r="E25" s="68">
        <f>VLOOKUP(G25,[1]DETALHADA!$1:$1048576,2,0)</f>
        <v>3599.9</v>
      </c>
      <c r="F25" s="68">
        <f t="shared" si="0"/>
        <v>3599.9</v>
      </c>
      <c r="G25" s="69" t="s">
        <v>482</v>
      </c>
      <c r="H25" s="69" t="s">
        <v>483</v>
      </c>
    </row>
    <row r="26" spans="1:8" ht="30" x14ac:dyDescent="0.25">
      <c r="A26" s="19">
        <v>29</v>
      </c>
      <c r="B26" s="19" t="s">
        <v>391</v>
      </c>
      <c r="C26" s="19" t="str">
        <f>VLOOKUP(G26,[2]DETALHADA!$1:$1048576,4,0)</f>
        <v>Perfuração de 01 (um) poço tubular profundo, com revestimento de tubo de aço carbono no Município de Pedreiras/MA</v>
      </c>
      <c r="D26" s="67">
        <v>46205</v>
      </c>
      <c r="E26" s="68">
        <f>VLOOKUP(G26,[1]DETALHADA!$1:$1048576,2,0)</f>
        <v>1176915.9099999999</v>
      </c>
      <c r="F26" s="68">
        <f t="shared" si="0"/>
        <v>1176915.9099999999</v>
      </c>
      <c r="G26" s="69" t="s">
        <v>484</v>
      </c>
      <c r="H26" s="69" t="s">
        <v>451</v>
      </c>
    </row>
    <row r="27" spans="1:8" ht="30" x14ac:dyDescent="0.25">
      <c r="A27" s="19">
        <v>31</v>
      </c>
      <c r="B27" s="19" t="s">
        <v>391</v>
      </c>
      <c r="C27" s="19" t="str">
        <f>VLOOKUP(G27,[2]DETALHADA!$1:$1048576,4,0)</f>
        <v>Perfuração de 02 (dois) poços tubulares profundos, nos Municípios de Presidente Dutra e Pedreiras/MA.</v>
      </c>
      <c r="D27" s="67">
        <v>46221</v>
      </c>
      <c r="E27" s="68">
        <f>VLOOKUP(G27,[1]DETALHADA!$1:$1048576,2,0)</f>
        <v>1538218.15</v>
      </c>
      <c r="F27" s="68">
        <f t="shared" si="0"/>
        <v>1538218.15</v>
      </c>
      <c r="G27" s="69" t="s">
        <v>485</v>
      </c>
      <c r="H27" s="69" t="s">
        <v>451</v>
      </c>
    </row>
    <row r="28" spans="1:8" ht="45" x14ac:dyDescent="0.25">
      <c r="A28" s="19">
        <v>37</v>
      </c>
      <c r="B28" s="19" t="s">
        <v>391</v>
      </c>
      <c r="C28" s="19" t="str">
        <f>VLOOKUP(G28,[2]DETALHADA!$1:$1048576,4,0)</f>
        <v>Prestação de serviços de manutenção predial visando atender a Região Metropolitana, Gerência de Negócios de Pinheiro, Gerência de Negócios de Santa Inês, Gerência de Negócios de Itapecuru, Gerência de Negócios de Barreirinhas e Gerência de Negócios de Chapadinha.</v>
      </c>
      <c r="D28" s="67">
        <v>46318</v>
      </c>
      <c r="E28" s="68">
        <f>VLOOKUP(G28,[1]DETALHADA!$1:$1048576,2,0)</f>
        <v>4579944</v>
      </c>
      <c r="F28" s="68">
        <f t="shared" si="0"/>
        <v>4579944</v>
      </c>
      <c r="G28" s="69" t="s">
        <v>486</v>
      </c>
      <c r="H28" s="69" t="s">
        <v>487</v>
      </c>
    </row>
    <row r="29" spans="1:8" ht="45" x14ac:dyDescent="0.25">
      <c r="A29" s="19">
        <v>38</v>
      </c>
      <c r="B29" s="19" t="s">
        <v>391</v>
      </c>
      <c r="C29" s="19" t="str">
        <f>VLOOKUP(G29,[2]DETALHADA!$1:$1048576,4,0)</f>
        <v>Prestação de serviços de manutenção predial visando atender a Gerência de negócios de Imperatriz, Gerência de negócios de Pedreiras, Gerência de negócios de Presidente Dutra e Gerência de negócios de Colinas/MA.</v>
      </c>
      <c r="D29" s="67">
        <v>46318</v>
      </c>
      <c r="E29" s="68">
        <f>VLOOKUP(G29,[1]DETALHADA!$1:$1048576,2,0)</f>
        <v>2191805.14</v>
      </c>
      <c r="F29" s="68">
        <f t="shared" si="0"/>
        <v>2191805.14</v>
      </c>
      <c r="G29" s="69" t="s">
        <v>488</v>
      </c>
      <c r="H29" s="69" t="s">
        <v>487</v>
      </c>
    </row>
    <row r="30" spans="1:8" ht="45" x14ac:dyDescent="0.25">
      <c r="A30" s="19">
        <v>39</v>
      </c>
      <c r="B30" s="19" t="s">
        <v>391</v>
      </c>
      <c r="C30" s="19" t="str">
        <f>VLOOKUP(G30,[2]DETALHADA!$1:$1048576,4,0)</f>
        <v>Execução de serviços de recuperação de reservatórios ETA´s e execução de serviços complementares, na região metropolitana e nas gerências de Pinheiro, Santa Inês, Itapecuru e Chapadinha MA</v>
      </c>
      <c r="D30" s="67">
        <v>46447</v>
      </c>
      <c r="E30" s="68">
        <f>VLOOKUP(G30,[1]DETALHADA!$1:$1048576,2,0)</f>
        <v>26001075</v>
      </c>
      <c r="F30" s="68">
        <f t="shared" si="0"/>
        <v>26001075</v>
      </c>
      <c r="G30" s="69" t="s">
        <v>489</v>
      </c>
      <c r="H30" s="69" t="s">
        <v>463</v>
      </c>
    </row>
    <row r="31" spans="1:8" x14ac:dyDescent="0.25">
      <c r="E31" s="71" t="s">
        <v>396</v>
      </c>
      <c r="F31" s="72">
        <f>SUM(F3:F30)</f>
        <v>103107210.16</v>
      </c>
    </row>
  </sheetData>
  <mergeCells count="1">
    <mergeCell ref="A1:H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RESUMO</vt:lpstr>
      <vt:lpstr>DG (CT SERV. EXISTENTES)</vt:lpstr>
      <vt:lpstr>DC (SERVIÇOS)</vt:lpstr>
      <vt:lpstr>PR (CT SERV. EXISTENTES)</vt:lpstr>
      <vt:lpstr>DE (SERVIÇOS VIGENTES)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gepe45407</dc:creator>
  <cp:lastModifiedBy>ESTAGIÁRIO COORD COMPRAS</cp:lastModifiedBy>
  <cp:lastPrinted>2025-12-11T18:36:17Z</cp:lastPrinted>
  <dcterms:created xsi:type="dcterms:W3CDTF">2025-12-11T17:51:34Z</dcterms:created>
  <dcterms:modified xsi:type="dcterms:W3CDTF">2026-03-26T18:06:34Z</dcterms:modified>
</cp:coreProperties>
</file>